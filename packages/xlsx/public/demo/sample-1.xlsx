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/>
  <xr:revisionPtr revIDLastSave="0" documentId="8_{5D2F4BB8-C68C-4BFA-877D-BB3AAF51F188}" xr6:coauthVersionLast="47" xr6:coauthVersionMax="47" xr10:uidLastSave="{00000000-0000-0000-0000-000000000000}"/>
  <bookViews>
    <workbookView xWindow="0" yWindow="0" windowWidth="0" windowHeight="0" firstSheet="5" activeTab="5" xr2:uid="{00000000-000D-0000-FFFF-FFFF00000000}"/>
  </bookViews>
  <sheets>
    <sheet name="Overview" sheetId="1" r:id="rId1"/>
    <sheet name="Lookup_Hidden" sheetId="2" state="hidden" r:id="rId2"/>
    <sheet name="Sales_Data" sheetId="3" r:id="rId3"/>
    <sheet name="Budget" sheetId="4" r:id="rId4"/>
    <sheet name="Dashboard" sheetId="5" r:id="rId5"/>
    <sheet name="Validation_Demo" sheetId="6" r:id="rId6"/>
  </sheets>
  <definedNames>
    <definedName name="CategoryList">Lookup_Hidden!$C$1:$C$4</definedName>
    <definedName name="OwnerList">Lookup_Hidden!$G$1:$G$4</definedName>
    <definedName name="RegionList">Lookup_Hidden!$E$1:$E$3</definedName>
    <definedName name="ScenarioList">Lookup_Hidden!$A$1:$A$3</definedName>
    <definedName name="StatusList">Lookup_Hidden!$I$1:$I$4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" i="5" l="1"/>
  <c r="B28" i="5"/>
  <c r="B27" i="5"/>
  <c r="B26" i="5"/>
  <c r="B8" i="5"/>
  <c r="B7" i="5"/>
  <c r="B4" i="5"/>
  <c r="O10" i="4"/>
  <c r="O9" i="4"/>
  <c r="M8" i="4"/>
  <c r="M11" i="4" s="1"/>
  <c r="M12" i="4" s="1"/>
  <c r="L8" i="4"/>
  <c r="L11" i="4" s="1"/>
  <c r="L12" i="4" s="1"/>
  <c r="K8" i="4"/>
  <c r="K11" i="4" s="1"/>
  <c r="K12" i="4" s="1"/>
  <c r="J8" i="4"/>
  <c r="J11" i="4" s="1"/>
  <c r="J12" i="4" s="1"/>
  <c r="I8" i="4"/>
  <c r="I11" i="4" s="1"/>
  <c r="I12" i="4" s="1"/>
  <c r="H8" i="4"/>
  <c r="H11" i="4" s="1"/>
  <c r="H12" i="4" s="1"/>
  <c r="G8" i="4"/>
  <c r="G11" i="4" s="1"/>
  <c r="G12" i="4" s="1"/>
  <c r="F8" i="4"/>
  <c r="F11" i="4" s="1"/>
  <c r="F12" i="4" s="1"/>
  <c r="E8" i="4"/>
  <c r="E11" i="4" s="1"/>
  <c r="E12" i="4" s="1"/>
  <c r="D8" i="4"/>
  <c r="D11" i="4" s="1"/>
  <c r="D12" i="4" s="1"/>
  <c r="C8" i="4"/>
  <c r="C11" i="4" s="1"/>
  <c r="C12" i="4" s="1"/>
  <c r="B8" i="4"/>
  <c r="O7" i="4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M7" i="3"/>
  <c r="J7" i="3"/>
  <c r="M6" i="3"/>
  <c r="J6" i="3"/>
  <c r="M5" i="3"/>
  <c r="J5" i="3"/>
  <c r="E8" i="1"/>
  <c r="C8" i="1"/>
  <c r="A8" i="1"/>
  <c r="B11" i="4" l="1"/>
  <c r="O8" i="4"/>
  <c r="B9" i="5"/>
  <c r="B10" i="5" s="1"/>
  <c r="B12" i="4" l="1"/>
  <c r="O12" i="4" s="1"/>
  <c r="O11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M5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Simple summary block used by charts on the Dashboard sheet.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4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Dropdown using a named range from the hidden sheet.</t>
        </r>
      </text>
    </comment>
  </commentList>
</comments>
</file>

<file path=xl/sharedStrings.xml><?xml version="1.0" encoding="utf-8"?>
<sst xmlns="http://schemas.openxmlformats.org/spreadsheetml/2006/main" count="390" uniqueCount="89">
  <si>
    <t>Office Viewer Test Sample — Excel Workbook</t>
  </si>
  <si>
    <t>Purpose</t>
  </si>
  <si>
    <t>Representative workbook for testing an Office viewer</t>
  </si>
  <si>
    <t>Coverage</t>
  </si>
  <si>
    <t>Sheets, tables, formulas, charts, comments, validation, CF, hyperlinks, hidden sheet</t>
  </si>
  <si>
    <t>Total Revenue</t>
  </si>
  <si>
    <t>Total Units</t>
  </si>
  <si>
    <t>Avg Margin</t>
  </si>
  <si>
    <t>Navigation</t>
  </si>
  <si>
    <t>Notes</t>
  </si>
  <si>
    <t>Sales data</t>
  </si>
  <si>
    <t>Try filtering the table, editing the scenario dropdown, and checking cell comments.</t>
  </si>
  <si>
    <t>Budget</t>
  </si>
  <si>
    <t>Dashboard</t>
  </si>
  <si>
    <t>Base</t>
  </si>
  <si>
    <t>Viewer Core</t>
  </si>
  <si>
    <t>APAC</t>
  </si>
  <si>
    <t>Ana</t>
  </si>
  <si>
    <t>Open</t>
  </si>
  <si>
    <t>Upside</t>
  </si>
  <si>
    <t>Import Pipeline</t>
  </si>
  <si>
    <t>EMEA</t>
  </si>
  <si>
    <t>Ben</t>
  </si>
  <si>
    <t>In Progress</t>
  </si>
  <si>
    <t>Downside</t>
  </si>
  <si>
    <t>Rendering</t>
  </si>
  <si>
    <t>Americas</t>
  </si>
  <si>
    <t>Chen</t>
  </si>
  <si>
    <t>Blocked</t>
  </si>
  <si>
    <t>QA</t>
  </si>
  <si>
    <t>Dana</t>
  </si>
  <si>
    <t>Done</t>
  </si>
  <si>
    <t>Sales Data</t>
  </si>
  <si>
    <t>Date</t>
  </si>
  <si>
    <t>Region</t>
  </si>
  <si>
    <t>Category</t>
  </si>
  <si>
    <t>Owner</t>
  </si>
  <si>
    <t>Product</t>
  </si>
  <si>
    <t>Units</t>
  </si>
  <si>
    <t>Unit Price</t>
  </si>
  <si>
    <t>Revenue</t>
  </si>
  <si>
    <t>Cost</t>
  </si>
  <si>
    <t>Margin %</t>
  </si>
  <si>
    <t>Summary by Region</t>
  </si>
  <si>
    <t>Viewer Lite</t>
  </si>
  <si>
    <t>Viewer Pro</t>
  </si>
  <si>
    <t>Sheet Engine</t>
  </si>
  <si>
    <t>Slide Engine</t>
  </si>
  <si>
    <t>Budget &amp; Plan</t>
  </si>
  <si>
    <t>Scenario</t>
  </si>
  <si>
    <t>Metric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</si>
  <si>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</si>
  <si>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</si>
  <si>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</si>
  <si>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</si>
  <si>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</si>
  <si>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</si>
  <si>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</si>
  <si>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</si>
  <si>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</si>
  <si>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</si>
  <si>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</si>
  <si>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</si>
  <si>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Variance to target</t>
  </si>
  <si>
    <t>Hosting cost</t>
  </si>
  <si>
    <t>R&amp;D</t>
  </si>
  <si>
    <t>Sales &amp; marketing</t>
  </si>
  <si>
    <t>Operating profit</t>
  </si>
  <si>
    <t>Op margin</t>
  </si>
  <si>
    <t>Refresh hint</t>
  </si>
  <si>
    <t>Charts read from worksheet cells and named data ranges.</t>
  </si>
  <si>
    <t>Gross profit</t>
  </si>
  <si>
    <t>Gross margin</t>
  </si>
  <si>
    <t>Back to Overview</t>
  </si>
  <si>
    <t>Validation &amp; Formatting Demo</t>
  </si>
  <si>
    <t>Task</t>
  </si>
  <si>
    <t>Status</t>
  </si>
  <si>
    <t>Due date</t>
  </si>
  <si>
    <t>Score</t>
  </si>
  <si>
    <t>Task 1</t>
  </si>
  <si>
    <t>Task 2</t>
  </si>
  <si>
    <t>Task 3</t>
  </si>
  <si>
    <t>Task 4</t>
  </si>
  <si>
    <t>Task 5</t>
  </si>
  <si>
    <t>Task 6</t>
  </si>
  <si>
    <t>Task 7</t>
  </si>
  <si>
    <t>Task 8</t>
  </si>
  <si>
    <t>Task 9</t>
  </si>
  <si>
    <t>Task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</si>
</sst>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\-mm\-dd"/>
    <numFmt numFmtId="177" formatCode="&quot;¥&quot;#,##0"/>
    <numFmt numFmtId="178" formatCode="0.0%"/>
  </numFmts>
  <fonts count="7">
    <font>
      <sz val="11"/>
      <color theme="1"/>
      <name val="Calibri"/>
      <family val="2"/>
      <scheme val="minor"/>
    </font>
    <font>
      <b/>
      <sz val="16"/>
      <color rgb="FFFFFFFF"/>
      <name val="Aptos"/>
    </font>
    <font>
      <sz val="12"/>
      <color theme="10"/>
      <name val="Calibri"/>
      <family val="2"/>
      <scheme val="minor"/>
    </font>
    <font>
      <b/>
      <sz val="11"/>
      <color rgb="FF1F4E78"/>
      <name val="Aptos"/>
    </font>
    <font>
      <b/>
      <sz val="11"/>
      <color rgb="FFFFFFFF"/>
      <name val="Aptos"/>
    </font>
    <font>
      <b/>
      <sz val="11"/>
      <name val="Aptos"/>
    </font>
    <font>
      <sz val="11"/>
      <name val="Aptos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">
    <xf numFmtId="0" fontId="0" fillId="0" borderId="0"/>
    <xf numFmtId="0" fontId="2" fillId="0" borderId="0"/>
  </cellStyleXfs>
  <cellXfs count="26">
    <xf numFmtId="0" fontId="0" fillId="0" borderId="0" xfId="0"/>
    <xf numFmtId="0" fontId="0" fillId="0" borderId="1" xfId="0" applyBorder="1"/>
    <xf numFmtId="0" fontId="3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0" xfId="1" applyAlignment="1">
      <alignment vertical="center" wrapText="1"/>
    </xf>
    <xf numFmtId="0" fontId="0" fillId="0" borderId="0" xfId="0" applyAlignment="1">
      <alignment vertical="center" wrapText="1"/>
    </xf>
    <xf numFmtId="176" fontId="0" fillId="0" borderId="1" xfId="0" applyNumberFormat="1" applyBorder="1" applyAlignment="1">
      <alignment vertical="center" wrapText="1"/>
    </xf>
    <xf numFmtId="177" fontId="0" fillId="0" borderId="1" xfId="0" applyNumberFormat="1" applyBorder="1" applyAlignment="1">
      <alignment vertical="center" wrapText="1"/>
    </xf>
    <xf numFmtId="178" fontId="0" fillId="0" borderId="1" xfId="0" applyNumberFormat="1" applyBorder="1" applyAlignment="1">
      <alignment vertical="center" wrapText="1"/>
    </xf>
    <xf numFmtId="177" fontId="0" fillId="0" borderId="0" xfId="0" applyNumberFormat="1" applyAlignment="1">
      <alignment vertical="center" wrapText="1"/>
    </xf>
    <xf numFmtId="0" fontId="0" fillId="6" borderId="0" xfId="0" applyFill="1" applyAlignment="1">
      <alignment vertical="center" wrapText="1"/>
    </xf>
    <xf numFmtId="0" fontId="4" fillId="2" borderId="0" xfId="0" applyFont="1" applyFill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178" fontId="0" fillId="0" borderId="0" xfId="0" applyNumberFormat="1" applyAlignment="1">
      <alignment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/>
    <xf numFmtId="0" fontId="4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/>
    <xf numFmtId="0" fontId="5" fillId="5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/>
    <xf numFmtId="0" fontId="5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/>
  </cellXfs>
  <cellStyles count="2">
    <cellStyle name="ハイパーリンク" xfId="1" builtinId="8"/>
    <cellStyle name="標準" xfId="0" builtinId="0"/>
  </cellStyles>
  <dxfs count="3"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Revenue by Region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Sales_Data!M4</c:f>
              <c:strCache>
                <c:ptCount val="1"/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Sales_Data!$L$5:$L$7</c:f>
              <c:strCache>
                <c:ptCount val="3"/>
                <c:pt idx="0">
                  <c:v>APAC</c:v>
                </c:pt>
                <c:pt idx="1">
                  <c:v>EMEA</c:v>
                </c:pt>
                <c:pt idx="2">
                  <c:v>Americas</c:v>
                </c:pt>
              </c:strCache>
            </c:strRef>
          </c:cat>
          <c:val>
            <c:numRef>
              <c:f>Sales_Data!$M$5:$M$7</c:f>
              <c:numCache>
                <c:formatCode>"¥"#,##0</c:formatCode>
                <c:ptCount val="3"/>
                <c:pt idx="0">
                  <c:v>1839000</c:v>
                </c:pt>
                <c:pt idx="1">
                  <c:v>1870500</c:v>
                </c:pt>
                <c:pt idx="2">
                  <c:v>1820100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75-4FF2-A837-4B9C25E609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Region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¥</a:t>
                </a:r>
              </a:p>
            </c:rich>
          </c:tx>
          <c:overlay val="1"/>
        </c:title>
        <c:numFmt formatCode="&quot;¥&quot;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Budget Trend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Budget!B7</c:f>
              <c:strCache>
                <c:ptCount val="1"/>
                <c:pt idx="0">
                  <c:v>¥700,000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Budget!$B$6:$M$6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Budget!$C$7:$M$7</c:f>
              <c:numCache>
                <c:formatCode>"¥"#,##0</c:formatCode>
                <c:ptCount val="11"/>
                <c:pt idx="0">
                  <c:v>725000</c:v>
                </c:pt>
                <c:pt idx="1">
                  <c:v>750000</c:v>
                </c:pt>
                <c:pt idx="2">
                  <c:v>775000</c:v>
                </c:pt>
                <c:pt idx="3">
                  <c:v>800000</c:v>
                </c:pt>
                <c:pt idx="4">
                  <c:v>825000</c:v>
                </c:pt>
                <c:pt idx="5">
                  <c:v>850000</c:v>
                </c:pt>
                <c:pt idx="6">
                  <c:v>875000</c:v>
                </c:pt>
                <c:pt idx="7">
                  <c:v>900000</c:v>
                </c:pt>
                <c:pt idx="8">
                  <c:v>925000</c:v>
                </c:pt>
                <c:pt idx="9">
                  <c:v>950000</c:v>
                </c:pt>
                <c:pt idx="10">
                  <c:v>975000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376-445E-8CA9-3E418EEB6748}"/>
            </c:ext>
          </c:extLst>
        </c:ser>
        <c:ser>
          <c:idx val="1"/>
          <c:order val="1"/>
          <c:tx>
            <c:strRef>
              <c:f>Budget!B8</c:f>
              <c:strCache>
                <c:ptCount val="1"/>
                <c:pt idx="0">
                  <c:v>¥126,000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Budget!$B$6:$M$6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Budget!$C$8:$M$8</c:f>
              <c:numCache>
                <c:formatCode>"¥"#,##0</c:formatCode>
                <c:ptCount val="11"/>
                <c:pt idx="0">
                  <c:v>130500</c:v>
                </c:pt>
                <c:pt idx="1">
                  <c:v>135000</c:v>
                </c:pt>
                <c:pt idx="2">
                  <c:v>139500</c:v>
                </c:pt>
                <c:pt idx="3">
                  <c:v>144000</c:v>
                </c:pt>
                <c:pt idx="4">
                  <c:v>148500</c:v>
                </c:pt>
                <c:pt idx="5">
                  <c:v>153000</c:v>
                </c:pt>
                <c:pt idx="6">
                  <c:v>157500</c:v>
                </c:pt>
                <c:pt idx="7">
                  <c:v>162000</c:v>
                </c:pt>
                <c:pt idx="8">
                  <c:v>166500</c:v>
                </c:pt>
                <c:pt idx="9">
                  <c:v>171000</c:v>
                </c:pt>
                <c:pt idx="10">
                  <c:v>175500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376-445E-8CA9-3E418EEB6748}"/>
            </c:ext>
          </c:extLst>
        </c:ser>
        <c:ser>
          <c:idx val="2"/>
          <c:order val="2"/>
          <c:tx>
            <c:strRef>
              <c:f>Budget!B9</c:f>
              <c:strCache>
                <c:ptCount val="1"/>
                <c:pt idx="0">
                  <c:v>¥180,000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Budget!$B$6:$M$6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Budget!$C$9:$M$9</c:f>
              <c:numCache>
                <c:formatCode>"¥"#,##0</c:formatCode>
                <c:ptCount val="11"/>
                <c:pt idx="0">
                  <c:v>185000</c:v>
                </c:pt>
                <c:pt idx="1">
                  <c:v>190000</c:v>
                </c:pt>
                <c:pt idx="2">
                  <c:v>195000</c:v>
                </c:pt>
                <c:pt idx="3">
                  <c:v>200000</c:v>
                </c:pt>
                <c:pt idx="4">
                  <c:v>205000</c:v>
                </c:pt>
                <c:pt idx="5">
                  <c:v>210000</c:v>
                </c:pt>
                <c:pt idx="6">
                  <c:v>215000</c:v>
                </c:pt>
                <c:pt idx="7">
                  <c:v>220000</c:v>
                </c:pt>
                <c:pt idx="8">
                  <c:v>225000</c:v>
                </c:pt>
                <c:pt idx="9">
                  <c:v>230000</c:v>
                </c:pt>
                <c:pt idx="10">
                  <c:v>235000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376-445E-8CA9-3E418EEB6748}"/>
            </c:ext>
          </c:extLst>
        </c:ser>
        <c:ser>
          <c:idx val="3"/>
          <c:order val="3"/>
          <c:tx>
            <c:strRef>
              <c:f>Budget!B10</c:f>
              <c:strCache>
                <c:ptCount val="1"/>
                <c:pt idx="0">
                  <c:v>¥120,000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Budget!$B$6:$M$6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Budget!$C$10:$M$10</c:f>
              <c:numCache>
                <c:formatCode>"¥"#,##0</c:formatCode>
                <c:ptCount val="11"/>
                <c:pt idx="0">
                  <c:v>126000</c:v>
                </c:pt>
                <c:pt idx="1">
                  <c:v>132000</c:v>
                </c:pt>
                <c:pt idx="2">
                  <c:v>138000</c:v>
                </c:pt>
                <c:pt idx="3">
                  <c:v>144000</c:v>
                </c:pt>
                <c:pt idx="4">
                  <c:v>150000</c:v>
                </c:pt>
                <c:pt idx="5">
                  <c:v>156000</c:v>
                </c:pt>
                <c:pt idx="6">
                  <c:v>162000</c:v>
                </c:pt>
                <c:pt idx="7">
                  <c:v>168000</c:v>
                </c:pt>
                <c:pt idx="8">
                  <c:v>174000</c:v>
                </c:pt>
                <c:pt idx="9">
                  <c:v>180000</c:v>
                </c:pt>
                <c:pt idx="10">
                  <c:v>186000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376-445E-8CA9-3E418EEB6748}"/>
            </c:ext>
          </c:extLst>
        </c:ser>
        <c:ser>
          <c:idx val="4"/>
          <c:order val="4"/>
          <c:tx>
            <c:strRef>
              <c:f>Budget!B11</c:f>
              <c:strCache>
                <c:ptCount val="1"/>
                <c:pt idx="0">
                  <c:v>¥274,000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Budget!$B$6:$M$6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Budget!$C$11:$M$11</c:f>
              <c:numCache>
                <c:formatCode>"¥"#,##0</c:formatCode>
                <c:ptCount val="11"/>
                <c:pt idx="0">
                  <c:v>283500</c:v>
                </c:pt>
                <c:pt idx="1">
                  <c:v>293000</c:v>
                </c:pt>
                <c:pt idx="2">
                  <c:v>302500</c:v>
                </c:pt>
                <c:pt idx="3">
                  <c:v>312000</c:v>
                </c:pt>
                <c:pt idx="4">
                  <c:v>321500</c:v>
                </c:pt>
                <c:pt idx="5">
                  <c:v>331000</c:v>
                </c:pt>
                <c:pt idx="6">
                  <c:v>340500</c:v>
                </c:pt>
                <c:pt idx="7">
                  <c:v>350000</c:v>
                </c:pt>
                <c:pt idx="8">
                  <c:v>359500</c:v>
                </c:pt>
                <c:pt idx="9">
                  <c:v>369000</c:v>
                </c:pt>
                <c:pt idx="10">
                  <c:v>378500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376-445E-8CA9-3E418EEB67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&quot;¥&quot;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Category mix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Dashboard!B25</c:f>
              <c:strCache>
                <c:ptCount val="1"/>
                <c:pt idx="0">
                  <c:v>Revenue</c:v>
                </c:pt>
              </c:strCache>
            </c:strRef>
          </c:tx>
          <c:spPr>
            <a:ln>
              <a:prstDash val="solid"/>
            </a:ln>
          </c:spPr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Dashboard!$A$26:$A$29</c:f>
              <c:strCache>
                <c:ptCount val="4"/>
                <c:pt idx="0">
                  <c:v>Viewer Core</c:v>
                </c:pt>
                <c:pt idx="1">
                  <c:v>Import Pipeline</c:v>
                </c:pt>
                <c:pt idx="2">
                  <c:v>Rendering</c:v>
                </c:pt>
                <c:pt idx="3">
                  <c:v>QA</c:v>
                </c:pt>
              </c:strCache>
            </c:strRef>
          </c:cat>
          <c:val>
            <c:numRef>
              <c:f>Dashboard!$B$26:$B$29</c:f>
              <c:numCache>
                <c:formatCode>General</c:formatCode>
                <c:ptCount val="4"/>
                <c:pt idx="0">
                  <c:v>1051200</c:v>
                </c:pt>
                <c:pt idx="1">
                  <c:v>1287600</c:v>
                </c:pt>
                <c:pt idx="2">
                  <c:v>1494300</c:v>
                </c:pt>
                <c:pt idx="3">
                  <c:v>1696500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59-42E5-8455-B5A76A622C69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13</xdr:row>
      <xdr:rowOff>0</xdr:rowOff>
    </xdr:from>
    <xdr:ext cx="324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13</xdr:row>
      <xdr:rowOff>0</xdr:rowOff>
    </xdr:from>
    <xdr:ext cx="3240000" cy="25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30</xdr:row>
      <xdr:rowOff>0</xdr:rowOff>
    </xdr:from>
    <xdr:ext cx="2520000" cy="216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6</xdr:col>
      <xdr:colOff>0</xdr:colOff>
      <xdr:row>3</xdr:row>
      <xdr:rowOff>0</xdr:rowOff>
    </xdr:from>
    <xdr:ext cx="2667000" cy="1504950"/>
    <xdr:pic>
      <xdr:nvPicPr>
        <xdr:cNvPr id="5" name="Image 4" descr="Picture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ales_Data" displayName="Sales_Data" ref="A4:J76">
  <autoFilter ref="A4:J76" xr:uid="{00000000-0009-0000-0100-000001000000}"/>
  <tableColumns count="10">
    <tableColumn id="1" xr3:uid="{00000000-0010-0000-0000-000001000000}" name="Date"/>
    <tableColumn id="2" xr3:uid="{00000000-0010-0000-0000-000002000000}" name="Region"/>
    <tableColumn id="3" xr3:uid="{00000000-0010-0000-0000-000003000000}" name="Category"/>
    <tableColumn id="4" xr3:uid="{00000000-0010-0000-0000-000004000000}" name="Owner"/>
    <tableColumn id="5" xr3:uid="{00000000-0010-0000-0000-000005000000}" name="Product"/>
    <tableColumn id="6" xr3:uid="{00000000-0010-0000-0000-000006000000}" name="Units"/>
    <tableColumn id="7" xr3:uid="{00000000-0010-0000-0000-000007000000}" name="Unit Price"/>
    <tableColumn id="8" xr3:uid="{00000000-0010-0000-0000-000008000000}" name="Revenue"/>
    <tableColumn id="9" xr3:uid="{00000000-0010-0000-0000-000009000000}" name="Cost"/>
    <tableColumn id="10" xr3:uid="{00000000-0010-0000-0000-00000A000000}" name="Margin %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internal:'Dashboard'!A1" TargetMode="External"/><Relationship Id="rId2" Type="http://schemas.openxmlformats.org/officeDocument/2006/relationships/hyperlink" Target="internal:'Budget'!A1" TargetMode="External"/><Relationship Id="rId1" Type="http://schemas.openxmlformats.org/officeDocument/2006/relationships/hyperlink" Target="internal:'Sales_Data'!A1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internal:'Overview'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18" customWidth="1"/>
    <col min="2" max="2" width="26" customWidth="1"/>
    <col min="3" max="3" width="3" customWidth="1"/>
    <col min="4" max="4" width="20" customWidth="1"/>
    <col min="5" max="8" width="16" customWidth="1"/>
  </cols>
  <sheetData>
    <row r="1" spans="1:8">
      <c r="A1" s="17" t="s">
        <v>0</v>
      </c>
      <c r="B1" s="18"/>
      <c r="C1" s="18"/>
      <c r="D1" s="18"/>
      <c r="E1" s="18"/>
      <c r="F1" s="18"/>
      <c r="G1" s="18"/>
      <c r="H1" s="18"/>
    </row>
    <row r="2" spans="1:8">
      <c r="A2" s="18"/>
      <c r="B2" s="18"/>
      <c r="C2" s="18"/>
      <c r="D2" s="18"/>
      <c r="E2" s="18"/>
      <c r="F2" s="18"/>
      <c r="G2" s="18"/>
      <c r="H2" s="18"/>
    </row>
    <row r="4" spans="1:8">
      <c r="A4" s="2" t="s">
        <v>1</v>
      </c>
      <c r="B4" s="3" t="s">
        <v>2</v>
      </c>
    </row>
    <row r="5" spans="1:8">
      <c r="A5" s="2" t="s">
        <v>3</v>
      </c>
      <c r="B5" s="3" t="s">
        <v>4</v>
      </c>
    </row>
    <row r="7" spans="1:8">
      <c r="A7" s="19" t="s">
        <v>5</v>
      </c>
      <c r="B7" s="18"/>
      <c r="C7" s="19" t="s">
        <v>6</v>
      </c>
      <c r="D7" s="18"/>
      <c r="E7" s="19" t="s">
        <v>7</v>
      </c>
      <c r="F7" s="18"/>
    </row>
    <row r="8" spans="1:8" ht="27.95" customHeight="1">
      <c r="A8" s="24">
        <f>SUM(Sales_Data[Revenue])</f>
        <v>5529600</v>
      </c>
      <c r="B8" s="25"/>
      <c r="C8" s="20">
        <f>SUM(Sales_Data[Units])</f>
        <v>3513</v>
      </c>
      <c r="D8" s="21"/>
      <c r="E8" s="22">
        <f>AVERAGE(Sales_Data[Margin %])</f>
        <v>0.36125000000000013</v>
      </c>
      <c r="F8" s="23"/>
    </row>
    <row r="9" spans="1:8">
      <c r="A9" s="25"/>
      <c r="B9" s="25"/>
      <c r="C9" s="21"/>
      <c r="D9" s="21"/>
      <c r="E9" s="23"/>
      <c r="F9" s="23"/>
    </row>
    <row r="10" spans="1:8">
      <c r="A10" s="25"/>
      <c r="B10" s="25"/>
      <c r="C10" s="21"/>
      <c r="D10" s="21"/>
      <c r="E10" s="23"/>
      <c r="F10" s="23"/>
    </row>
    <row r="13" spans="1:8">
      <c r="A13" s="4" t="s">
        <v>8</v>
      </c>
      <c r="D13" s="4" t="s">
        <v>9</v>
      </c>
    </row>
    <row r="14" spans="1:8">
      <c r="A14" s="5" t="s">
        <v>10</v>
      </c>
      <c r="D14" s="6" t="s">
        <v>11</v>
      </c>
    </row>
    <row r="15" spans="1:8">
      <c r="A15" s="5" t="s">
        <v>12</v>
      </c>
    </row>
    <row r="16" spans="1:8">
      <c r="A16" s="5" t="s">
        <v>13</v>
      </c>
    </row>
  </sheetData>
  <mergeCells count="7">
    <mergeCell ref="C7:D7"/>
    <mergeCell ref="A7:B7"/>
    <mergeCell ref="E7:F7"/>
    <mergeCell ref="C8:D10"/>
    <mergeCell ref="A1:H2"/>
    <mergeCell ref="E8:F10"/>
    <mergeCell ref="A8:B10"/>
  </mergeCells>
  <hyperlinks>
    <hyperlink ref="A14" r:id="rId1" xr:uid="{00000000-0004-0000-0000-000000000000}"/>
    <hyperlink ref="A15" r:id="rId2" xr:uid="{00000000-0004-0000-0000-000001000000}"/>
    <hyperlink ref="A16" r:id="rId3" xr:uid="{00000000-0004-0000-0000-000002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4"/>
  <sheetViews>
    <sheetView workbookViewId="0"/>
  </sheetViews>
  <sheetFormatPr defaultRowHeight="15"/>
  <sheetData>
    <row r="1" spans="1:9">
      <c r="A1" s="6" t="s">
        <v>14</v>
      </c>
      <c r="C1" s="6" t="s">
        <v>15</v>
      </c>
      <c r="E1" s="6" t="s">
        <v>16</v>
      </c>
      <c r="G1" s="6" t="s">
        <v>17</v>
      </c>
      <c r="I1" s="6" t="s">
        <v>18</v>
      </c>
    </row>
    <row r="2" spans="1:9">
      <c r="A2" s="6" t="s">
        <v>19</v>
      </c>
      <c r="C2" s="6" t="s">
        <v>20</v>
      </c>
      <c r="E2" s="6" t="s">
        <v>21</v>
      </c>
      <c r="G2" s="6" t="s">
        <v>22</v>
      </c>
      <c r="I2" s="6" t="s">
        <v>23</v>
      </c>
    </row>
    <row r="3" spans="1:9">
      <c r="A3" s="6" t="s">
        <v>24</v>
      </c>
      <c r="C3" s="6" t="s">
        <v>25</v>
      </c>
      <c r="E3" s="6" t="s">
        <v>26</v>
      </c>
      <c r="G3" s="6" t="s">
        <v>27</v>
      </c>
      <c r="I3" s="6" t="s">
        <v>28</v>
      </c>
    </row>
    <row r="4" spans="1:9">
      <c r="C4" s="6" t="s">
        <v>29</v>
      </c>
      <c r="G4" s="6" t="s">
        <v>30</v>
      </c>
      <c r="I4" s="6" t="s">
        <v>31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76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2" width="12" customWidth="1"/>
    <col min="3" max="3" width="18" customWidth="1"/>
    <col min="4" max="4" width="12" customWidth="1"/>
    <col min="5" max="5" width="16" customWidth="1"/>
    <col min="6" max="6" width="10" customWidth="1"/>
    <col min="7" max="9" width="12" customWidth="1"/>
    <col min="10" max="10" width="10" customWidth="1"/>
  </cols>
  <sheetData>
    <row r="1" spans="1:13">
      <c r="A1" s="17" t="s">
        <v>32</v>
      </c>
      <c r="B1" s="18"/>
      <c r="C1" s="18"/>
      <c r="D1" s="18"/>
      <c r="E1" s="18"/>
      <c r="F1" s="18"/>
      <c r="G1" s="18"/>
      <c r="H1" s="18"/>
      <c r="I1" s="18"/>
      <c r="J1" s="18"/>
    </row>
    <row r="2" spans="1:13">
      <c r="A2" s="18"/>
      <c r="B2" s="18"/>
      <c r="C2" s="18"/>
      <c r="D2" s="18"/>
      <c r="E2" s="18"/>
      <c r="F2" s="18"/>
      <c r="G2" s="18"/>
      <c r="H2" s="18"/>
      <c r="I2" s="18"/>
      <c r="J2" s="18"/>
    </row>
    <row r="4" spans="1:13">
      <c r="A4" s="16" t="s">
        <v>33</v>
      </c>
      <c r="B4" s="16" t="s">
        <v>34</v>
      </c>
      <c r="C4" s="16" t="s">
        <v>35</v>
      </c>
      <c r="D4" s="16" t="s">
        <v>36</v>
      </c>
      <c r="E4" s="16" t="s">
        <v>37</v>
      </c>
      <c r="F4" s="16" t="s">
        <v>38</v>
      </c>
      <c r="G4" s="16" t="s">
        <v>39</v>
      </c>
      <c r="H4" s="16" t="s">
        <v>40</v>
      </c>
      <c r="I4" s="16" t="s">
        <v>41</v>
      </c>
      <c r="J4" s="16" t="s">
        <v>42</v>
      </c>
      <c r="L4" s="4" t="s">
        <v>43</v>
      </c>
    </row>
    <row r="5" spans="1:13">
      <c r="A5" s="7">
        <v>46023</v>
      </c>
      <c r="B5" s="3" t="s">
        <v>16</v>
      </c>
      <c r="C5" s="3" t="s">
        <v>15</v>
      </c>
      <c r="D5" s="3" t="s">
        <v>17</v>
      </c>
      <c r="E5" s="3" t="s">
        <v>44</v>
      </c>
      <c r="F5" s="3">
        <v>30</v>
      </c>
      <c r="G5" s="8">
        <v>1200</v>
      </c>
      <c r="H5" s="8">
        <v>36000</v>
      </c>
      <c r="I5" s="8">
        <v>20880</v>
      </c>
      <c r="J5" s="9">
        <f>IF(H5=0,0,(H5-I5)/H5)</f>
        <v>0.42</v>
      </c>
      <c r="L5" s="6" t="s">
        <v>16</v>
      </c>
      <c r="M5" s="10">
        <f>SUMIFS(H:H,B:B,L5)</f>
        <v>1839000</v>
      </c>
    </row>
    <row r="6" spans="1:13">
      <c r="A6" s="7">
        <v>46023</v>
      </c>
      <c r="B6" s="3" t="s">
        <v>16</v>
      </c>
      <c r="C6" s="3" t="s">
        <v>20</v>
      </c>
      <c r="D6" s="3" t="s">
        <v>22</v>
      </c>
      <c r="E6" s="3" t="s">
        <v>45</v>
      </c>
      <c r="F6" s="3">
        <v>33</v>
      </c>
      <c r="G6" s="8">
        <v>1450</v>
      </c>
      <c r="H6" s="8">
        <v>47850</v>
      </c>
      <c r="I6" s="8">
        <v>29188.5</v>
      </c>
      <c r="J6" s="9">
        <f>IF(H6=0,0,(H6-I6)/H6)</f>
        <v>0.39</v>
      </c>
      <c r="L6" s="6" t="s">
        <v>21</v>
      </c>
      <c r="M6" s="10">
        <f>SUMIFS(H:H,B:B,L6)</f>
        <v>1870500</v>
      </c>
    </row>
    <row r="7" spans="1:13">
      <c r="A7" s="7">
        <v>46023</v>
      </c>
      <c r="B7" s="3" t="s">
        <v>16</v>
      </c>
      <c r="C7" s="3" t="s">
        <v>25</v>
      </c>
      <c r="D7" s="3" t="s">
        <v>27</v>
      </c>
      <c r="E7" s="3" t="s">
        <v>46</v>
      </c>
      <c r="F7" s="3">
        <v>36</v>
      </c>
      <c r="G7" s="8">
        <v>1700</v>
      </c>
      <c r="H7" s="8">
        <v>61200</v>
      </c>
      <c r="I7" s="8">
        <v>39168</v>
      </c>
      <c r="J7" s="9">
        <f>IF(H7=0,0,(H7-I7)/H7)</f>
        <v>0.36</v>
      </c>
      <c r="L7" s="6" t="s">
        <v>26</v>
      </c>
      <c r="M7" s="10">
        <f>SUMIFS(H:H,B:B,L7)</f>
        <v>1820100</v>
      </c>
    </row>
    <row r="8" spans="1:13">
      <c r="A8" s="7">
        <v>46023</v>
      </c>
      <c r="B8" s="3" t="s">
        <v>16</v>
      </c>
      <c r="C8" s="3" t="s">
        <v>29</v>
      </c>
      <c r="D8" s="3" t="s">
        <v>30</v>
      </c>
      <c r="E8" s="3" t="s">
        <v>47</v>
      </c>
      <c r="F8" s="3">
        <v>39</v>
      </c>
      <c r="G8" s="8">
        <v>1950</v>
      </c>
      <c r="H8" s="8">
        <v>76050</v>
      </c>
      <c r="I8" s="8">
        <v>50953.5</v>
      </c>
      <c r="J8" s="9">
        <f>IF(H8=0,0,(H8-I8)/H8)</f>
        <v>0.33</v>
      </c>
    </row>
    <row r="9" spans="1:13">
      <c r="A9" s="7">
        <v>46023</v>
      </c>
      <c r="B9" s="3" t="s">
        <v>21</v>
      </c>
      <c r="C9" s="3" t="s">
        <v>15</v>
      </c>
      <c r="D9" s="3" t="s">
        <v>17</v>
      </c>
      <c r="E9" s="3" t="s">
        <v>44</v>
      </c>
      <c r="F9" s="3">
        <v>42</v>
      </c>
      <c r="G9" s="8">
        <v>1200</v>
      </c>
      <c r="H9" s="8">
        <v>50400</v>
      </c>
      <c r="I9" s="8">
        <v>35280</v>
      </c>
      <c r="J9" s="9">
        <f>IF(H9=0,0,(H9-I9)/H9)</f>
        <v>0.3</v>
      </c>
    </row>
    <row r="10" spans="1:13">
      <c r="A10" s="7">
        <v>46023</v>
      </c>
      <c r="B10" s="3" t="s">
        <v>21</v>
      </c>
      <c r="C10" s="3" t="s">
        <v>20</v>
      </c>
      <c r="D10" s="3" t="s">
        <v>22</v>
      </c>
      <c r="E10" s="3" t="s">
        <v>45</v>
      </c>
      <c r="F10" s="3">
        <v>45</v>
      </c>
      <c r="G10" s="8">
        <v>1450</v>
      </c>
      <c r="H10" s="8">
        <v>65250</v>
      </c>
      <c r="I10" s="8">
        <v>37845</v>
      </c>
      <c r="J10" s="9">
        <f>IF(H10=0,0,(H10-I10)/H10)</f>
        <v>0.42</v>
      </c>
    </row>
    <row r="11" spans="1:13">
      <c r="A11" s="7">
        <v>46023</v>
      </c>
      <c r="B11" s="3" t="s">
        <v>21</v>
      </c>
      <c r="C11" s="3" t="s">
        <v>25</v>
      </c>
      <c r="D11" s="3" t="s">
        <v>27</v>
      </c>
      <c r="E11" s="3" t="s">
        <v>46</v>
      </c>
      <c r="F11" s="3">
        <v>48</v>
      </c>
      <c r="G11" s="8">
        <v>1700</v>
      </c>
      <c r="H11" s="8">
        <v>81600</v>
      </c>
      <c r="I11" s="8">
        <v>49776</v>
      </c>
      <c r="J11" s="9">
        <f>IF(H11=0,0,(H11-I11)/H11)</f>
        <v>0.39</v>
      </c>
    </row>
    <row r="12" spans="1:13">
      <c r="A12" s="7">
        <v>46023</v>
      </c>
      <c r="B12" s="3" t="s">
        <v>21</v>
      </c>
      <c r="C12" s="3" t="s">
        <v>29</v>
      </c>
      <c r="D12" s="3" t="s">
        <v>30</v>
      </c>
      <c r="E12" s="3" t="s">
        <v>47</v>
      </c>
      <c r="F12" s="3">
        <v>30</v>
      </c>
      <c r="G12" s="8">
        <v>1950</v>
      </c>
      <c r="H12" s="8">
        <v>58500</v>
      </c>
      <c r="I12" s="8">
        <v>37440</v>
      </c>
      <c r="J12" s="9">
        <f>IF(H12=0,0,(H12-I12)/H12)</f>
        <v>0.36</v>
      </c>
    </row>
    <row r="13" spans="1:13">
      <c r="A13" s="7">
        <v>46023</v>
      </c>
      <c r="B13" s="3" t="s">
        <v>26</v>
      </c>
      <c r="C13" s="3" t="s">
        <v>15</v>
      </c>
      <c r="D13" s="3" t="s">
        <v>17</v>
      </c>
      <c r="E13" s="3" t="s">
        <v>44</v>
      </c>
      <c r="F13" s="3">
        <v>33</v>
      </c>
      <c r="G13" s="8">
        <v>1200</v>
      </c>
      <c r="H13" s="8">
        <v>39600</v>
      </c>
      <c r="I13" s="8">
        <v>26532</v>
      </c>
      <c r="J13" s="9">
        <f>IF(H13=0,0,(H13-I13)/H13)</f>
        <v>0.33</v>
      </c>
    </row>
    <row r="14" spans="1:13">
      <c r="A14" s="7">
        <v>46023</v>
      </c>
      <c r="B14" s="3" t="s">
        <v>26</v>
      </c>
      <c r="C14" s="3" t="s">
        <v>20</v>
      </c>
      <c r="D14" s="3" t="s">
        <v>22</v>
      </c>
      <c r="E14" s="3" t="s">
        <v>45</v>
      </c>
      <c r="F14" s="3">
        <v>36</v>
      </c>
      <c r="G14" s="8">
        <v>1450</v>
      </c>
      <c r="H14" s="8">
        <v>52200</v>
      </c>
      <c r="I14" s="8">
        <v>36540</v>
      </c>
      <c r="J14" s="9">
        <f>IF(H14=0,0,(H14-I14)/H14)</f>
        <v>0.3</v>
      </c>
    </row>
    <row r="15" spans="1:13">
      <c r="A15" s="7">
        <v>46023</v>
      </c>
      <c r="B15" s="3" t="s">
        <v>26</v>
      </c>
      <c r="C15" s="3" t="s">
        <v>25</v>
      </c>
      <c r="D15" s="3" t="s">
        <v>27</v>
      </c>
      <c r="E15" s="3" t="s">
        <v>46</v>
      </c>
      <c r="F15" s="3">
        <v>39</v>
      </c>
      <c r="G15" s="8">
        <v>1700</v>
      </c>
      <c r="H15" s="8">
        <v>66300</v>
      </c>
      <c r="I15" s="8">
        <v>38454</v>
      </c>
      <c r="J15" s="9">
        <f>IF(H15=0,0,(H15-I15)/H15)</f>
        <v>0.42</v>
      </c>
    </row>
    <row r="16" spans="1:13">
      <c r="A16" s="7">
        <v>46023</v>
      </c>
      <c r="B16" s="3" t="s">
        <v>26</v>
      </c>
      <c r="C16" s="3" t="s">
        <v>29</v>
      </c>
      <c r="D16" s="3" t="s">
        <v>30</v>
      </c>
      <c r="E16" s="3" t="s">
        <v>47</v>
      </c>
      <c r="F16" s="3">
        <v>42</v>
      </c>
      <c r="G16" s="8">
        <v>1950</v>
      </c>
      <c r="H16" s="8">
        <v>81900</v>
      </c>
      <c r="I16" s="8">
        <v>49959</v>
      </c>
      <c r="J16" s="9">
        <f>IF(H16=0,0,(H16-I16)/H16)</f>
        <v>0.39</v>
      </c>
    </row>
    <row r="17" spans="1:10">
      <c r="A17" s="7">
        <v>46053</v>
      </c>
      <c r="B17" s="3" t="s">
        <v>16</v>
      </c>
      <c r="C17" s="3" t="s">
        <v>15</v>
      </c>
      <c r="D17" s="3" t="s">
        <v>17</v>
      </c>
      <c r="E17" s="3" t="s">
        <v>45</v>
      </c>
      <c r="F17" s="3">
        <v>49</v>
      </c>
      <c r="G17" s="8">
        <v>1200</v>
      </c>
      <c r="H17" s="8">
        <v>58800</v>
      </c>
      <c r="I17" s="8">
        <v>37632</v>
      </c>
      <c r="J17" s="9">
        <f>IF(H17=0,0,(H17-I17)/H17)</f>
        <v>0.36</v>
      </c>
    </row>
    <row r="18" spans="1:10">
      <c r="A18" s="7">
        <v>46053</v>
      </c>
      <c r="B18" s="3" t="s">
        <v>16</v>
      </c>
      <c r="C18" s="3" t="s">
        <v>20</v>
      </c>
      <c r="D18" s="3" t="s">
        <v>22</v>
      </c>
      <c r="E18" s="3" t="s">
        <v>46</v>
      </c>
      <c r="F18" s="3">
        <v>52</v>
      </c>
      <c r="G18" s="8">
        <v>1450</v>
      </c>
      <c r="H18" s="8">
        <v>75400</v>
      </c>
      <c r="I18" s="8">
        <v>50518</v>
      </c>
      <c r="J18" s="9">
        <f>IF(H18=0,0,(H18-I18)/H18)</f>
        <v>0.33</v>
      </c>
    </row>
    <row r="19" spans="1:10">
      <c r="A19" s="7">
        <v>46053</v>
      </c>
      <c r="B19" s="3" t="s">
        <v>16</v>
      </c>
      <c r="C19" s="3" t="s">
        <v>25</v>
      </c>
      <c r="D19" s="3" t="s">
        <v>27</v>
      </c>
      <c r="E19" s="3" t="s">
        <v>47</v>
      </c>
      <c r="F19" s="3">
        <v>34</v>
      </c>
      <c r="G19" s="8">
        <v>1700</v>
      </c>
      <c r="H19" s="8">
        <v>57800</v>
      </c>
      <c r="I19" s="8">
        <v>40460</v>
      </c>
      <c r="J19" s="9">
        <f>IF(H19=0,0,(H19-I19)/H19)</f>
        <v>0.3</v>
      </c>
    </row>
    <row r="20" spans="1:10">
      <c r="A20" s="7">
        <v>46053</v>
      </c>
      <c r="B20" s="3" t="s">
        <v>16</v>
      </c>
      <c r="C20" s="3" t="s">
        <v>29</v>
      </c>
      <c r="D20" s="3" t="s">
        <v>30</v>
      </c>
      <c r="E20" s="3" t="s">
        <v>44</v>
      </c>
      <c r="F20" s="3">
        <v>37</v>
      </c>
      <c r="G20" s="8">
        <v>1950</v>
      </c>
      <c r="H20" s="8">
        <v>72150</v>
      </c>
      <c r="I20" s="8">
        <v>41847</v>
      </c>
      <c r="J20" s="9">
        <f>IF(H20=0,0,(H20-I20)/H20)</f>
        <v>0.42</v>
      </c>
    </row>
    <row r="21" spans="1:10">
      <c r="A21" s="7">
        <v>46053</v>
      </c>
      <c r="B21" s="3" t="s">
        <v>21</v>
      </c>
      <c r="C21" s="3" t="s">
        <v>15</v>
      </c>
      <c r="D21" s="3" t="s">
        <v>17</v>
      </c>
      <c r="E21" s="3" t="s">
        <v>45</v>
      </c>
      <c r="F21" s="3">
        <v>40</v>
      </c>
      <c r="G21" s="8">
        <v>1200</v>
      </c>
      <c r="H21" s="8">
        <v>48000</v>
      </c>
      <c r="I21" s="8">
        <v>29280</v>
      </c>
      <c r="J21" s="9">
        <f>IF(H21=0,0,(H21-I21)/H21)</f>
        <v>0.39</v>
      </c>
    </row>
    <row r="22" spans="1:10">
      <c r="A22" s="7">
        <v>46053</v>
      </c>
      <c r="B22" s="3" t="s">
        <v>21</v>
      </c>
      <c r="C22" s="3" t="s">
        <v>20</v>
      </c>
      <c r="D22" s="3" t="s">
        <v>22</v>
      </c>
      <c r="E22" s="3" t="s">
        <v>46</v>
      </c>
      <c r="F22" s="3">
        <v>43</v>
      </c>
      <c r="G22" s="8">
        <v>1450</v>
      </c>
      <c r="H22" s="8">
        <v>62350</v>
      </c>
      <c r="I22" s="8">
        <v>39904</v>
      </c>
      <c r="J22" s="9">
        <f>IF(H22=0,0,(H22-I22)/H22)</f>
        <v>0.36</v>
      </c>
    </row>
    <row r="23" spans="1:10">
      <c r="A23" s="7">
        <v>46053</v>
      </c>
      <c r="B23" s="3" t="s">
        <v>21</v>
      </c>
      <c r="C23" s="3" t="s">
        <v>25</v>
      </c>
      <c r="D23" s="3" t="s">
        <v>27</v>
      </c>
      <c r="E23" s="3" t="s">
        <v>47</v>
      </c>
      <c r="F23" s="3">
        <v>46</v>
      </c>
      <c r="G23" s="8">
        <v>1700</v>
      </c>
      <c r="H23" s="8">
        <v>78200</v>
      </c>
      <c r="I23" s="8">
        <v>52394</v>
      </c>
      <c r="J23" s="9">
        <f>IF(H23=0,0,(H23-I23)/H23)</f>
        <v>0.33</v>
      </c>
    </row>
    <row r="24" spans="1:10">
      <c r="A24" s="7">
        <v>46053</v>
      </c>
      <c r="B24" s="3" t="s">
        <v>21</v>
      </c>
      <c r="C24" s="3" t="s">
        <v>29</v>
      </c>
      <c r="D24" s="3" t="s">
        <v>30</v>
      </c>
      <c r="E24" s="3" t="s">
        <v>44</v>
      </c>
      <c r="F24" s="3">
        <v>49</v>
      </c>
      <c r="G24" s="8">
        <v>1950</v>
      </c>
      <c r="H24" s="8">
        <v>95550</v>
      </c>
      <c r="I24" s="8">
        <v>66885</v>
      </c>
      <c r="J24" s="9">
        <f>IF(H24=0,0,(H24-I24)/H24)</f>
        <v>0.3</v>
      </c>
    </row>
    <row r="25" spans="1:10">
      <c r="A25" s="7">
        <v>46053</v>
      </c>
      <c r="B25" s="3" t="s">
        <v>26</v>
      </c>
      <c r="C25" s="3" t="s">
        <v>15</v>
      </c>
      <c r="D25" s="3" t="s">
        <v>17</v>
      </c>
      <c r="E25" s="3" t="s">
        <v>45</v>
      </c>
      <c r="F25" s="3">
        <v>52</v>
      </c>
      <c r="G25" s="8">
        <v>1200</v>
      </c>
      <c r="H25" s="8">
        <v>62400</v>
      </c>
      <c r="I25" s="8">
        <v>36192</v>
      </c>
      <c r="J25" s="9">
        <f>IF(H25=0,0,(H25-I25)/H25)</f>
        <v>0.42</v>
      </c>
    </row>
    <row r="26" spans="1:10">
      <c r="A26" s="7">
        <v>46053</v>
      </c>
      <c r="B26" s="3" t="s">
        <v>26</v>
      </c>
      <c r="C26" s="3" t="s">
        <v>20</v>
      </c>
      <c r="D26" s="3" t="s">
        <v>22</v>
      </c>
      <c r="E26" s="3" t="s">
        <v>46</v>
      </c>
      <c r="F26" s="3">
        <v>34</v>
      </c>
      <c r="G26" s="8">
        <v>1450</v>
      </c>
      <c r="H26" s="8">
        <v>49300</v>
      </c>
      <c r="I26" s="8">
        <v>30073</v>
      </c>
      <c r="J26" s="9">
        <f>IF(H26=0,0,(H26-I26)/H26)</f>
        <v>0.39</v>
      </c>
    </row>
    <row r="27" spans="1:10">
      <c r="A27" s="7">
        <v>46053</v>
      </c>
      <c r="B27" s="3" t="s">
        <v>26</v>
      </c>
      <c r="C27" s="3" t="s">
        <v>25</v>
      </c>
      <c r="D27" s="3" t="s">
        <v>27</v>
      </c>
      <c r="E27" s="3" t="s">
        <v>47</v>
      </c>
      <c r="F27" s="3">
        <v>37</v>
      </c>
      <c r="G27" s="8">
        <v>1700</v>
      </c>
      <c r="H27" s="8">
        <v>62900</v>
      </c>
      <c r="I27" s="8">
        <v>40256</v>
      </c>
      <c r="J27" s="9">
        <f>IF(H27=0,0,(H27-I27)/H27)</f>
        <v>0.36</v>
      </c>
    </row>
    <row r="28" spans="1:10">
      <c r="A28" s="7">
        <v>46053</v>
      </c>
      <c r="B28" s="3" t="s">
        <v>26</v>
      </c>
      <c r="C28" s="3" t="s">
        <v>29</v>
      </c>
      <c r="D28" s="3" t="s">
        <v>30</v>
      </c>
      <c r="E28" s="3" t="s">
        <v>44</v>
      </c>
      <c r="F28" s="3">
        <v>40</v>
      </c>
      <c r="G28" s="8">
        <v>1950</v>
      </c>
      <c r="H28" s="8">
        <v>78000</v>
      </c>
      <c r="I28" s="8">
        <v>52260</v>
      </c>
      <c r="J28" s="9">
        <f>IF(H28=0,0,(H28-I28)/H28)</f>
        <v>0.33</v>
      </c>
    </row>
    <row r="29" spans="1:10">
      <c r="A29" s="7">
        <v>46083</v>
      </c>
      <c r="B29" s="3" t="s">
        <v>16</v>
      </c>
      <c r="C29" s="3" t="s">
        <v>15</v>
      </c>
      <c r="D29" s="3" t="s">
        <v>17</v>
      </c>
      <c r="E29" s="3" t="s">
        <v>46</v>
      </c>
      <c r="F29" s="3">
        <v>47</v>
      </c>
      <c r="G29" s="8">
        <v>1200</v>
      </c>
      <c r="H29" s="8">
        <v>56400</v>
      </c>
      <c r="I29" s="8">
        <v>39480</v>
      </c>
      <c r="J29" s="9">
        <f>IF(H29=0,0,(H29-I29)/H29)</f>
        <v>0.3</v>
      </c>
    </row>
    <row r="30" spans="1:10">
      <c r="A30" s="7">
        <v>46083</v>
      </c>
      <c r="B30" s="3" t="s">
        <v>16</v>
      </c>
      <c r="C30" s="3" t="s">
        <v>20</v>
      </c>
      <c r="D30" s="3" t="s">
        <v>22</v>
      </c>
      <c r="E30" s="3" t="s">
        <v>47</v>
      </c>
      <c r="F30" s="3">
        <v>50</v>
      </c>
      <c r="G30" s="8">
        <v>1450</v>
      </c>
      <c r="H30" s="8">
        <v>72500</v>
      </c>
      <c r="I30" s="8">
        <v>42050</v>
      </c>
      <c r="J30" s="9">
        <f>IF(H30=0,0,(H30-I30)/H30)</f>
        <v>0.42</v>
      </c>
    </row>
    <row r="31" spans="1:10">
      <c r="A31" s="7">
        <v>46083</v>
      </c>
      <c r="B31" s="3" t="s">
        <v>16</v>
      </c>
      <c r="C31" s="3" t="s">
        <v>25</v>
      </c>
      <c r="D31" s="3" t="s">
        <v>27</v>
      </c>
      <c r="E31" s="3" t="s">
        <v>44</v>
      </c>
      <c r="F31" s="3">
        <v>53</v>
      </c>
      <c r="G31" s="8">
        <v>1700</v>
      </c>
      <c r="H31" s="8">
        <v>90100</v>
      </c>
      <c r="I31" s="8">
        <v>54961</v>
      </c>
      <c r="J31" s="9">
        <f>IF(H31=0,0,(H31-I31)/H31)</f>
        <v>0.39</v>
      </c>
    </row>
    <row r="32" spans="1:10">
      <c r="A32" s="7">
        <v>46083</v>
      </c>
      <c r="B32" s="3" t="s">
        <v>16</v>
      </c>
      <c r="C32" s="3" t="s">
        <v>29</v>
      </c>
      <c r="D32" s="3" t="s">
        <v>30</v>
      </c>
      <c r="E32" s="3" t="s">
        <v>45</v>
      </c>
      <c r="F32" s="3">
        <v>56</v>
      </c>
      <c r="G32" s="8">
        <v>1950</v>
      </c>
      <c r="H32" s="8">
        <v>109200</v>
      </c>
      <c r="I32" s="8">
        <v>69888</v>
      </c>
      <c r="J32" s="9">
        <f>IF(H32=0,0,(H32-I32)/H32)</f>
        <v>0.36</v>
      </c>
    </row>
    <row r="33" spans="1:10">
      <c r="A33" s="7">
        <v>46083</v>
      </c>
      <c r="B33" s="3" t="s">
        <v>21</v>
      </c>
      <c r="C33" s="3" t="s">
        <v>15</v>
      </c>
      <c r="D33" s="3" t="s">
        <v>17</v>
      </c>
      <c r="E33" s="3" t="s">
        <v>46</v>
      </c>
      <c r="F33" s="3">
        <v>38</v>
      </c>
      <c r="G33" s="8">
        <v>1200</v>
      </c>
      <c r="H33" s="8">
        <v>45600</v>
      </c>
      <c r="I33" s="8">
        <v>30552</v>
      </c>
      <c r="J33" s="9">
        <f>IF(H33=0,0,(H33-I33)/H33)</f>
        <v>0.33</v>
      </c>
    </row>
    <row r="34" spans="1:10">
      <c r="A34" s="7">
        <v>46083</v>
      </c>
      <c r="B34" s="3" t="s">
        <v>21</v>
      </c>
      <c r="C34" s="3" t="s">
        <v>20</v>
      </c>
      <c r="D34" s="3" t="s">
        <v>22</v>
      </c>
      <c r="E34" s="3" t="s">
        <v>47</v>
      </c>
      <c r="F34" s="3">
        <v>41</v>
      </c>
      <c r="G34" s="8">
        <v>1450</v>
      </c>
      <c r="H34" s="8">
        <v>59450</v>
      </c>
      <c r="I34" s="8">
        <v>41615</v>
      </c>
      <c r="J34" s="9">
        <f>IF(H34=0,0,(H34-I34)/H34)</f>
        <v>0.3</v>
      </c>
    </row>
    <row r="35" spans="1:10">
      <c r="A35" s="7">
        <v>46083</v>
      </c>
      <c r="B35" s="3" t="s">
        <v>21</v>
      </c>
      <c r="C35" s="3" t="s">
        <v>25</v>
      </c>
      <c r="D35" s="3" t="s">
        <v>27</v>
      </c>
      <c r="E35" s="3" t="s">
        <v>44</v>
      </c>
      <c r="F35" s="3">
        <v>44</v>
      </c>
      <c r="G35" s="8">
        <v>1700</v>
      </c>
      <c r="H35" s="8">
        <v>74800</v>
      </c>
      <c r="I35" s="8">
        <v>43384</v>
      </c>
      <c r="J35" s="9">
        <f>IF(H35=0,0,(H35-I35)/H35)</f>
        <v>0.42</v>
      </c>
    </row>
    <row r="36" spans="1:10">
      <c r="A36" s="7">
        <v>46083</v>
      </c>
      <c r="B36" s="3" t="s">
        <v>21</v>
      </c>
      <c r="C36" s="3" t="s">
        <v>29</v>
      </c>
      <c r="D36" s="3" t="s">
        <v>30</v>
      </c>
      <c r="E36" s="3" t="s">
        <v>45</v>
      </c>
      <c r="F36" s="3">
        <v>47</v>
      </c>
      <c r="G36" s="8">
        <v>1950</v>
      </c>
      <c r="H36" s="8">
        <v>91650</v>
      </c>
      <c r="I36" s="8">
        <v>55906.5</v>
      </c>
      <c r="J36" s="9">
        <f>IF(H36=0,0,(H36-I36)/H36)</f>
        <v>0.39</v>
      </c>
    </row>
    <row r="37" spans="1:10">
      <c r="A37" s="7">
        <v>46083</v>
      </c>
      <c r="B37" s="3" t="s">
        <v>26</v>
      </c>
      <c r="C37" s="3" t="s">
        <v>15</v>
      </c>
      <c r="D37" s="3" t="s">
        <v>17</v>
      </c>
      <c r="E37" s="3" t="s">
        <v>46</v>
      </c>
      <c r="F37" s="3">
        <v>50</v>
      </c>
      <c r="G37" s="8">
        <v>1200</v>
      </c>
      <c r="H37" s="8">
        <v>60000</v>
      </c>
      <c r="I37" s="8">
        <v>38400</v>
      </c>
      <c r="J37" s="9">
        <f>IF(H37=0,0,(H37-I37)/H37)</f>
        <v>0.36</v>
      </c>
    </row>
    <row r="38" spans="1:10">
      <c r="A38" s="7">
        <v>46083</v>
      </c>
      <c r="B38" s="3" t="s">
        <v>26</v>
      </c>
      <c r="C38" s="3" t="s">
        <v>20</v>
      </c>
      <c r="D38" s="3" t="s">
        <v>22</v>
      </c>
      <c r="E38" s="3" t="s">
        <v>47</v>
      </c>
      <c r="F38" s="3">
        <v>53</v>
      </c>
      <c r="G38" s="8">
        <v>1450</v>
      </c>
      <c r="H38" s="8">
        <v>76850</v>
      </c>
      <c r="I38" s="8">
        <v>51489.5</v>
      </c>
      <c r="J38" s="9">
        <f>IF(H38=0,0,(H38-I38)/H38)</f>
        <v>0.33</v>
      </c>
    </row>
    <row r="39" spans="1:10">
      <c r="A39" s="7">
        <v>46083</v>
      </c>
      <c r="B39" s="3" t="s">
        <v>26</v>
      </c>
      <c r="C39" s="3" t="s">
        <v>25</v>
      </c>
      <c r="D39" s="3" t="s">
        <v>27</v>
      </c>
      <c r="E39" s="3" t="s">
        <v>44</v>
      </c>
      <c r="F39" s="3">
        <v>56</v>
      </c>
      <c r="G39" s="8">
        <v>1700</v>
      </c>
      <c r="H39" s="8">
        <v>95200</v>
      </c>
      <c r="I39" s="8">
        <v>66640</v>
      </c>
      <c r="J39" s="9">
        <f>IF(H39=0,0,(H39-I39)/H39)</f>
        <v>0.3</v>
      </c>
    </row>
    <row r="40" spans="1:10">
      <c r="A40" s="7">
        <v>46083</v>
      </c>
      <c r="B40" s="3" t="s">
        <v>26</v>
      </c>
      <c r="C40" s="3" t="s">
        <v>29</v>
      </c>
      <c r="D40" s="3" t="s">
        <v>30</v>
      </c>
      <c r="E40" s="3" t="s">
        <v>45</v>
      </c>
      <c r="F40" s="3">
        <v>38</v>
      </c>
      <c r="G40" s="8">
        <v>1950</v>
      </c>
      <c r="H40" s="8">
        <v>74100</v>
      </c>
      <c r="I40" s="8">
        <v>42978</v>
      </c>
      <c r="J40" s="9">
        <f>IF(H40=0,0,(H40-I40)/H40)</f>
        <v>0.42</v>
      </c>
    </row>
    <row r="41" spans="1:10">
      <c r="A41" s="7">
        <v>46113</v>
      </c>
      <c r="B41" s="3" t="s">
        <v>16</v>
      </c>
      <c r="C41" s="3" t="s">
        <v>15</v>
      </c>
      <c r="D41" s="3" t="s">
        <v>17</v>
      </c>
      <c r="E41" s="3" t="s">
        <v>47</v>
      </c>
      <c r="F41" s="3">
        <v>45</v>
      </c>
      <c r="G41" s="8">
        <v>1200</v>
      </c>
      <c r="H41" s="8">
        <v>54000</v>
      </c>
      <c r="I41" s="8">
        <v>32940</v>
      </c>
      <c r="J41" s="9">
        <f>IF(H41=0,0,(H41-I41)/H41)</f>
        <v>0.39</v>
      </c>
    </row>
    <row r="42" spans="1:10">
      <c r="A42" s="7">
        <v>46113</v>
      </c>
      <c r="B42" s="3" t="s">
        <v>16</v>
      </c>
      <c r="C42" s="3" t="s">
        <v>20</v>
      </c>
      <c r="D42" s="3" t="s">
        <v>22</v>
      </c>
      <c r="E42" s="3" t="s">
        <v>44</v>
      </c>
      <c r="F42" s="3">
        <v>48</v>
      </c>
      <c r="G42" s="8">
        <v>1450</v>
      </c>
      <c r="H42" s="8">
        <v>69600</v>
      </c>
      <c r="I42" s="8">
        <v>44544</v>
      </c>
      <c r="J42" s="9">
        <f>IF(H42=0,0,(H42-I42)/H42)</f>
        <v>0.36</v>
      </c>
    </row>
    <row r="43" spans="1:10">
      <c r="A43" s="7">
        <v>46113</v>
      </c>
      <c r="B43" s="3" t="s">
        <v>16</v>
      </c>
      <c r="C43" s="3" t="s">
        <v>25</v>
      </c>
      <c r="D43" s="3" t="s">
        <v>27</v>
      </c>
      <c r="E43" s="3" t="s">
        <v>45</v>
      </c>
      <c r="F43" s="3">
        <v>51</v>
      </c>
      <c r="G43" s="8">
        <v>1700</v>
      </c>
      <c r="H43" s="8">
        <v>86700</v>
      </c>
      <c r="I43" s="8">
        <v>58089</v>
      </c>
      <c r="J43" s="9">
        <f>IF(H43=0,0,(H43-I43)/H43)</f>
        <v>0.33</v>
      </c>
    </row>
    <row r="44" spans="1:10">
      <c r="A44" s="7">
        <v>46113</v>
      </c>
      <c r="B44" s="3" t="s">
        <v>16</v>
      </c>
      <c r="C44" s="3" t="s">
        <v>29</v>
      </c>
      <c r="D44" s="3" t="s">
        <v>30</v>
      </c>
      <c r="E44" s="3" t="s">
        <v>46</v>
      </c>
      <c r="F44" s="3">
        <v>54</v>
      </c>
      <c r="G44" s="8">
        <v>1950</v>
      </c>
      <c r="H44" s="8">
        <v>105300</v>
      </c>
      <c r="I44" s="8">
        <v>73710</v>
      </c>
      <c r="J44" s="9">
        <f>IF(H44=0,0,(H44-I44)/H44)</f>
        <v>0.3</v>
      </c>
    </row>
    <row r="45" spans="1:10">
      <c r="A45" s="7">
        <v>46113</v>
      </c>
      <c r="B45" s="3" t="s">
        <v>21</v>
      </c>
      <c r="C45" s="3" t="s">
        <v>15</v>
      </c>
      <c r="D45" s="3" t="s">
        <v>17</v>
      </c>
      <c r="E45" s="3" t="s">
        <v>47</v>
      </c>
      <c r="F45" s="3">
        <v>57</v>
      </c>
      <c r="G45" s="8">
        <v>1200</v>
      </c>
      <c r="H45" s="8">
        <v>68400</v>
      </c>
      <c r="I45" s="8">
        <v>39672</v>
      </c>
      <c r="J45" s="9">
        <f>IF(H45=0,0,(H45-I45)/H45)</f>
        <v>0.42</v>
      </c>
    </row>
    <row r="46" spans="1:10">
      <c r="A46" s="7">
        <v>46113</v>
      </c>
      <c r="B46" s="3" t="s">
        <v>21</v>
      </c>
      <c r="C46" s="3" t="s">
        <v>20</v>
      </c>
      <c r="D46" s="3" t="s">
        <v>22</v>
      </c>
      <c r="E46" s="3" t="s">
        <v>44</v>
      </c>
      <c r="F46" s="3">
        <v>60</v>
      </c>
      <c r="G46" s="8">
        <v>1450</v>
      </c>
      <c r="H46" s="8">
        <v>87000</v>
      </c>
      <c r="I46" s="8">
        <v>53070</v>
      </c>
      <c r="J46" s="9">
        <f>IF(H46=0,0,(H46-I46)/H46)</f>
        <v>0.39</v>
      </c>
    </row>
    <row r="47" spans="1:10">
      <c r="A47" s="7">
        <v>46113</v>
      </c>
      <c r="B47" s="3" t="s">
        <v>21</v>
      </c>
      <c r="C47" s="3" t="s">
        <v>25</v>
      </c>
      <c r="D47" s="3" t="s">
        <v>27</v>
      </c>
      <c r="E47" s="3" t="s">
        <v>45</v>
      </c>
      <c r="F47" s="3">
        <v>42</v>
      </c>
      <c r="G47" s="8">
        <v>1700</v>
      </c>
      <c r="H47" s="8">
        <v>71400</v>
      </c>
      <c r="I47" s="8">
        <v>45696</v>
      </c>
      <c r="J47" s="9">
        <f>IF(H47=0,0,(H47-I47)/H47)</f>
        <v>0.36</v>
      </c>
    </row>
    <row r="48" spans="1:10">
      <c r="A48" s="7">
        <v>46113</v>
      </c>
      <c r="B48" s="3" t="s">
        <v>21</v>
      </c>
      <c r="C48" s="3" t="s">
        <v>29</v>
      </c>
      <c r="D48" s="3" t="s">
        <v>30</v>
      </c>
      <c r="E48" s="3" t="s">
        <v>46</v>
      </c>
      <c r="F48" s="3">
        <v>45</v>
      </c>
      <c r="G48" s="8">
        <v>1950</v>
      </c>
      <c r="H48" s="8">
        <v>87750</v>
      </c>
      <c r="I48" s="8">
        <v>58792.5</v>
      </c>
      <c r="J48" s="9">
        <f>IF(H48=0,0,(H48-I48)/H48)</f>
        <v>0.33</v>
      </c>
    </row>
    <row r="49" spans="1:10">
      <c r="A49" s="7">
        <v>46113</v>
      </c>
      <c r="B49" s="3" t="s">
        <v>26</v>
      </c>
      <c r="C49" s="3" t="s">
        <v>15</v>
      </c>
      <c r="D49" s="3" t="s">
        <v>17</v>
      </c>
      <c r="E49" s="3" t="s">
        <v>47</v>
      </c>
      <c r="F49" s="3">
        <v>48</v>
      </c>
      <c r="G49" s="8">
        <v>1200</v>
      </c>
      <c r="H49" s="8">
        <v>57600</v>
      </c>
      <c r="I49" s="8">
        <v>40320</v>
      </c>
      <c r="J49" s="9">
        <f>IF(H49=0,0,(H49-I49)/H49)</f>
        <v>0.3</v>
      </c>
    </row>
    <row r="50" spans="1:10">
      <c r="A50" s="7">
        <v>46113</v>
      </c>
      <c r="B50" s="3" t="s">
        <v>26</v>
      </c>
      <c r="C50" s="3" t="s">
        <v>20</v>
      </c>
      <c r="D50" s="3" t="s">
        <v>22</v>
      </c>
      <c r="E50" s="3" t="s">
        <v>44</v>
      </c>
      <c r="F50" s="3">
        <v>51</v>
      </c>
      <c r="G50" s="8">
        <v>1450</v>
      </c>
      <c r="H50" s="8">
        <v>73950</v>
      </c>
      <c r="I50" s="8">
        <v>42891</v>
      </c>
      <c r="J50" s="9">
        <f>IF(H50=0,0,(H50-I50)/H50)</f>
        <v>0.42</v>
      </c>
    </row>
    <row r="51" spans="1:10">
      <c r="A51" s="7">
        <v>46113</v>
      </c>
      <c r="B51" s="3" t="s">
        <v>26</v>
      </c>
      <c r="C51" s="3" t="s">
        <v>25</v>
      </c>
      <c r="D51" s="3" t="s">
        <v>27</v>
      </c>
      <c r="E51" s="3" t="s">
        <v>45</v>
      </c>
      <c r="F51" s="3">
        <v>54</v>
      </c>
      <c r="G51" s="8">
        <v>1700</v>
      </c>
      <c r="H51" s="8">
        <v>91800</v>
      </c>
      <c r="I51" s="8">
        <v>55998</v>
      </c>
      <c r="J51" s="9">
        <f>IF(H51=0,0,(H51-I51)/H51)</f>
        <v>0.39</v>
      </c>
    </row>
    <row r="52" spans="1:10">
      <c r="A52" s="7">
        <v>46113</v>
      </c>
      <c r="B52" s="3" t="s">
        <v>26</v>
      </c>
      <c r="C52" s="3" t="s">
        <v>29</v>
      </c>
      <c r="D52" s="3" t="s">
        <v>30</v>
      </c>
      <c r="E52" s="3" t="s">
        <v>46</v>
      </c>
      <c r="F52" s="3">
        <v>57</v>
      </c>
      <c r="G52" s="8">
        <v>1950</v>
      </c>
      <c r="H52" s="8">
        <v>111150</v>
      </c>
      <c r="I52" s="8">
        <v>71136</v>
      </c>
      <c r="J52" s="9">
        <f>IF(H52=0,0,(H52-I52)/H52)</f>
        <v>0.36</v>
      </c>
    </row>
    <row r="53" spans="1:10">
      <c r="A53" s="7">
        <v>46143</v>
      </c>
      <c r="B53" s="3" t="s">
        <v>16</v>
      </c>
      <c r="C53" s="3" t="s">
        <v>15</v>
      </c>
      <c r="D53" s="3" t="s">
        <v>17</v>
      </c>
      <c r="E53" s="3" t="s">
        <v>44</v>
      </c>
      <c r="F53" s="3">
        <v>64</v>
      </c>
      <c r="G53" s="8">
        <v>1200</v>
      </c>
      <c r="H53" s="8">
        <v>76800</v>
      </c>
      <c r="I53" s="8">
        <v>51456</v>
      </c>
      <c r="J53" s="9">
        <f>IF(H53=0,0,(H53-I53)/H53)</f>
        <v>0.33</v>
      </c>
    </row>
    <row r="54" spans="1:10">
      <c r="A54" s="7">
        <v>46143</v>
      </c>
      <c r="B54" s="3" t="s">
        <v>16</v>
      </c>
      <c r="C54" s="3" t="s">
        <v>20</v>
      </c>
      <c r="D54" s="3" t="s">
        <v>22</v>
      </c>
      <c r="E54" s="3" t="s">
        <v>45</v>
      </c>
      <c r="F54" s="3">
        <v>46</v>
      </c>
      <c r="G54" s="8">
        <v>1450</v>
      </c>
      <c r="H54" s="8">
        <v>66700</v>
      </c>
      <c r="I54" s="8">
        <v>46690</v>
      </c>
      <c r="J54" s="9">
        <f>IF(H54=0,0,(H54-I54)/H54)</f>
        <v>0.3</v>
      </c>
    </row>
    <row r="55" spans="1:10">
      <c r="A55" s="7">
        <v>46143</v>
      </c>
      <c r="B55" s="3" t="s">
        <v>16</v>
      </c>
      <c r="C55" s="3" t="s">
        <v>25</v>
      </c>
      <c r="D55" s="3" t="s">
        <v>27</v>
      </c>
      <c r="E55" s="3" t="s">
        <v>46</v>
      </c>
      <c r="F55" s="3">
        <v>49</v>
      </c>
      <c r="G55" s="8">
        <v>1700</v>
      </c>
      <c r="H55" s="8">
        <v>83300</v>
      </c>
      <c r="I55" s="8">
        <v>48314</v>
      </c>
      <c r="J55" s="9">
        <f>IF(H55=0,0,(H55-I55)/H55)</f>
        <v>0.42</v>
      </c>
    </row>
    <row r="56" spans="1:10">
      <c r="A56" s="7">
        <v>46143</v>
      </c>
      <c r="B56" s="3" t="s">
        <v>16</v>
      </c>
      <c r="C56" s="3" t="s">
        <v>29</v>
      </c>
      <c r="D56" s="3" t="s">
        <v>30</v>
      </c>
      <c r="E56" s="3" t="s">
        <v>47</v>
      </c>
      <c r="F56" s="3">
        <v>52</v>
      </c>
      <c r="G56" s="8">
        <v>1950</v>
      </c>
      <c r="H56" s="8">
        <v>101400</v>
      </c>
      <c r="I56" s="8">
        <v>61854</v>
      </c>
      <c r="J56" s="9">
        <f>IF(H56=0,0,(H56-I56)/H56)</f>
        <v>0.39</v>
      </c>
    </row>
    <row r="57" spans="1:10">
      <c r="A57" s="7">
        <v>46143</v>
      </c>
      <c r="B57" s="3" t="s">
        <v>21</v>
      </c>
      <c r="C57" s="3" t="s">
        <v>15</v>
      </c>
      <c r="D57" s="3" t="s">
        <v>17</v>
      </c>
      <c r="E57" s="3" t="s">
        <v>44</v>
      </c>
      <c r="F57" s="3">
        <v>55</v>
      </c>
      <c r="G57" s="8">
        <v>1200</v>
      </c>
      <c r="H57" s="8">
        <v>66000</v>
      </c>
      <c r="I57" s="8">
        <v>42240</v>
      </c>
      <c r="J57" s="9">
        <f>IF(H57=0,0,(H57-I57)/H57)</f>
        <v>0.36</v>
      </c>
    </row>
    <row r="58" spans="1:10">
      <c r="A58" s="7">
        <v>46143</v>
      </c>
      <c r="B58" s="3" t="s">
        <v>21</v>
      </c>
      <c r="C58" s="3" t="s">
        <v>20</v>
      </c>
      <c r="D58" s="3" t="s">
        <v>22</v>
      </c>
      <c r="E58" s="3" t="s">
        <v>45</v>
      </c>
      <c r="F58" s="3">
        <v>58</v>
      </c>
      <c r="G58" s="8">
        <v>1450</v>
      </c>
      <c r="H58" s="8">
        <v>84100</v>
      </c>
      <c r="I58" s="8">
        <v>56347</v>
      </c>
      <c r="J58" s="9">
        <f>IF(H58=0,0,(H58-I58)/H58)</f>
        <v>0.33</v>
      </c>
    </row>
    <row r="59" spans="1:10">
      <c r="A59" s="7">
        <v>46143</v>
      </c>
      <c r="B59" s="3" t="s">
        <v>21</v>
      </c>
      <c r="C59" s="3" t="s">
        <v>25</v>
      </c>
      <c r="D59" s="3" t="s">
        <v>27</v>
      </c>
      <c r="E59" s="3" t="s">
        <v>46</v>
      </c>
      <c r="F59" s="3">
        <v>61</v>
      </c>
      <c r="G59" s="8">
        <v>1700</v>
      </c>
      <c r="H59" s="8">
        <v>103700</v>
      </c>
      <c r="I59" s="8">
        <v>72590</v>
      </c>
      <c r="J59" s="9">
        <f>IF(H59=0,0,(H59-I59)/H59)</f>
        <v>0.3</v>
      </c>
    </row>
    <row r="60" spans="1:10">
      <c r="A60" s="7">
        <v>46143</v>
      </c>
      <c r="B60" s="3" t="s">
        <v>21</v>
      </c>
      <c r="C60" s="3" t="s">
        <v>29</v>
      </c>
      <c r="D60" s="3" t="s">
        <v>30</v>
      </c>
      <c r="E60" s="3" t="s">
        <v>47</v>
      </c>
      <c r="F60" s="3">
        <v>64</v>
      </c>
      <c r="G60" s="8">
        <v>1950</v>
      </c>
      <c r="H60" s="8">
        <v>124800</v>
      </c>
      <c r="I60" s="8">
        <v>72384</v>
      </c>
      <c r="J60" s="9">
        <f>IF(H60=0,0,(H60-I60)/H60)</f>
        <v>0.42</v>
      </c>
    </row>
    <row r="61" spans="1:10">
      <c r="A61" s="7">
        <v>46143</v>
      </c>
      <c r="B61" s="3" t="s">
        <v>26</v>
      </c>
      <c r="C61" s="3" t="s">
        <v>15</v>
      </c>
      <c r="D61" s="3" t="s">
        <v>17</v>
      </c>
      <c r="E61" s="3" t="s">
        <v>44</v>
      </c>
      <c r="F61" s="3">
        <v>46</v>
      </c>
      <c r="G61" s="8">
        <v>1200</v>
      </c>
      <c r="H61" s="8">
        <v>55200</v>
      </c>
      <c r="I61" s="8">
        <v>33672</v>
      </c>
      <c r="J61" s="9">
        <f>IF(H61=0,0,(H61-I61)/H61)</f>
        <v>0.39</v>
      </c>
    </row>
    <row r="62" spans="1:10">
      <c r="A62" s="7">
        <v>46143</v>
      </c>
      <c r="B62" s="3" t="s">
        <v>26</v>
      </c>
      <c r="C62" s="3" t="s">
        <v>20</v>
      </c>
      <c r="D62" s="3" t="s">
        <v>22</v>
      </c>
      <c r="E62" s="3" t="s">
        <v>45</v>
      </c>
      <c r="F62" s="3">
        <v>49</v>
      </c>
      <c r="G62" s="8">
        <v>1450</v>
      </c>
      <c r="H62" s="8">
        <v>71050</v>
      </c>
      <c r="I62" s="8">
        <v>45472</v>
      </c>
      <c r="J62" s="9">
        <f>IF(H62=0,0,(H62-I62)/H62)</f>
        <v>0.36</v>
      </c>
    </row>
    <row r="63" spans="1:10">
      <c r="A63" s="7">
        <v>46143</v>
      </c>
      <c r="B63" s="3" t="s">
        <v>26</v>
      </c>
      <c r="C63" s="3" t="s">
        <v>25</v>
      </c>
      <c r="D63" s="3" t="s">
        <v>27</v>
      </c>
      <c r="E63" s="3" t="s">
        <v>46</v>
      </c>
      <c r="F63" s="3">
        <v>52</v>
      </c>
      <c r="G63" s="8">
        <v>1700</v>
      </c>
      <c r="H63" s="8">
        <v>88400</v>
      </c>
      <c r="I63" s="8">
        <v>59228</v>
      </c>
      <c r="J63" s="9">
        <f>IF(H63=0,0,(H63-I63)/H63)</f>
        <v>0.33</v>
      </c>
    </row>
    <row r="64" spans="1:10">
      <c r="A64" s="7">
        <v>46143</v>
      </c>
      <c r="B64" s="3" t="s">
        <v>26</v>
      </c>
      <c r="C64" s="3" t="s">
        <v>29</v>
      </c>
      <c r="D64" s="3" t="s">
        <v>30</v>
      </c>
      <c r="E64" s="3" t="s">
        <v>47</v>
      </c>
      <c r="F64" s="3">
        <v>55</v>
      </c>
      <c r="G64" s="8">
        <v>1950</v>
      </c>
      <c r="H64" s="8">
        <v>107250</v>
      </c>
      <c r="I64" s="8">
        <v>75075</v>
      </c>
      <c r="J64" s="9">
        <f>IF(H64=0,0,(H64-I64)/H64)</f>
        <v>0.3</v>
      </c>
    </row>
    <row r="65" spans="1:10">
      <c r="A65" s="7">
        <v>46173</v>
      </c>
      <c r="B65" s="3" t="s">
        <v>16</v>
      </c>
      <c r="C65" s="3" t="s">
        <v>15</v>
      </c>
      <c r="D65" s="3" t="s">
        <v>17</v>
      </c>
      <c r="E65" s="3" t="s">
        <v>45</v>
      </c>
      <c r="F65" s="3">
        <v>62</v>
      </c>
      <c r="G65" s="8">
        <v>1200</v>
      </c>
      <c r="H65" s="8">
        <v>74400</v>
      </c>
      <c r="I65" s="8">
        <v>43152</v>
      </c>
      <c r="J65" s="9">
        <f>IF(H65=0,0,(H65-I65)/H65)</f>
        <v>0.42</v>
      </c>
    </row>
    <row r="66" spans="1:10">
      <c r="A66" s="7">
        <v>46173</v>
      </c>
      <c r="B66" s="3" t="s">
        <v>16</v>
      </c>
      <c r="C66" s="3" t="s">
        <v>20</v>
      </c>
      <c r="D66" s="3" t="s">
        <v>22</v>
      </c>
      <c r="E66" s="3" t="s">
        <v>46</v>
      </c>
      <c r="F66" s="3">
        <v>65</v>
      </c>
      <c r="G66" s="8">
        <v>1450</v>
      </c>
      <c r="H66" s="8">
        <v>94250</v>
      </c>
      <c r="I66" s="8">
        <v>57492.5</v>
      </c>
      <c r="J66" s="9">
        <f>IF(H66=0,0,(H66-I66)/H66)</f>
        <v>0.39</v>
      </c>
    </row>
    <row r="67" spans="1:10">
      <c r="A67" s="7">
        <v>46173</v>
      </c>
      <c r="B67" s="3" t="s">
        <v>16</v>
      </c>
      <c r="C67" s="3" t="s">
        <v>25</v>
      </c>
      <c r="D67" s="3" t="s">
        <v>27</v>
      </c>
      <c r="E67" s="3" t="s">
        <v>47</v>
      </c>
      <c r="F67" s="3">
        <v>68</v>
      </c>
      <c r="G67" s="8">
        <v>1700</v>
      </c>
      <c r="H67" s="8">
        <v>115600</v>
      </c>
      <c r="I67" s="8">
        <v>73984</v>
      </c>
      <c r="J67" s="9">
        <f>IF(H67=0,0,(H67-I67)/H67)</f>
        <v>0.36</v>
      </c>
    </row>
    <row r="68" spans="1:10">
      <c r="A68" s="7">
        <v>46173</v>
      </c>
      <c r="B68" s="3" t="s">
        <v>16</v>
      </c>
      <c r="C68" s="3" t="s">
        <v>29</v>
      </c>
      <c r="D68" s="3" t="s">
        <v>30</v>
      </c>
      <c r="E68" s="3" t="s">
        <v>44</v>
      </c>
      <c r="F68" s="3">
        <v>50</v>
      </c>
      <c r="G68" s="8">
        <v>1950</v>
      </c>
      <c r="H68" s="8">
        <v>97500</v>
      </c>
      <c r="I68" s="8">
        <v>65325</v>
      </c>
      <c r="J68" s="9">
        <f>IF(H68=0,0,(H68-I68)/H68)</f>
        <v>0.33</v>
      </c>
    </row>
    <row r="69" spans="1:10">
      <c r="A69" s="7">
        <v>46173</v>
      </c>
      <c r="B69" s="3" t="s">
        <v>21</v>
      </c>
      <c r="C69" s="3" t="s">
        <v>15</v>
      </c>
      <c r="D69" s="3" t="s">
        <v>17</v>
      </c>
      <c r="E69" s="3" t="s">
        <v>45</v>
      </c>
      <c r="F69" s="3">
        <v>53</v>
      </c>
      <c r="G69" s="8">
        <v>1200</v>
      </c>
      <c r="H69" s="8">
        <v>63600</v>
      </c>
      <c r="I69" s="8">
        <v>44520</v>
      </c>
      <c r="J69" s="9">
        <f>IF(H69=0,0,(H69-I69)/H69)</f>
        <v>0.3</v>
      </c>
    </row>
    <row r="70" spans="1:10">
      <c r="A70" s="7">
        <v>46173</v>
      </c>
      <c r="B70" s="3" t="s">
        <v>21</v>
      </c>
      <c r="C70" s="3" t="s">
        <v>20</v>
      </c>
      <c r="D70" s="3" t="s">
        <v>22</v>
      </c>
      <c r="E70" s="3" t="s">
        <v>46</v>
      </c>
      <c r="F70" s="3">
        <v>56</v>
      </c>
      <c r="G70" s="8">
        <v>1450</v>
      </c>
      <c r="H70" s="8">
        <v>81200</v>
      </c>
      <c r="I70" s="8">
        <v>47096</v>
      </c>
      <c r="J70" s="9">
        <f>IF(H70=0,0,(H70-I70)/H70)</f>
        <v>0.42</v>
      </c>
    </row>
    <row r="71" spans="1:10">
      <c r="A71" s="7">
        <v>46173</v>
      </c>
      <c r="B71" s="3" t="s">
        <v>21</v>
      </c>
      <c r="C71" s="3" t="s">
        <v>25</v>
      </c>
      <c r="D71" s="3" t="s">
        <v>27</v>
      </c>
      <c r="E71" s="3" t="s">
        <v>47</v>
      </c>
      <c r="F71" s="3">
        <v>59</v>
      </c>
      <c r="G71" s="8">
        <v>1700</v>
      </c>
      <c r="H71" s="8">
        <v>100300</v>
      </c>
      <c r="I71" s="8">
        <v>61183</v>
      </c>
      <c r="J71" s="9">
        <f>IF(H71=0,0,(H71-I71)/H71)</f>
        <v>0.39</v>
      </c>
    </row>
    <row r="72" spans="1:10">
      <c r="A72" s="7">
        <v>46173</v>
      </c>
      <c r="B72" s="3" t="s">
        <v>21</v>
      </c>
      <c r="C72" s="3" t="s">
        <v>29</v>
      </c>
      <c r="D72" s="3" t="s">
        <v>30</v>
      </c>
      <c r="E72" s="3" t="s">
        <v>44</v>
      </c>
      <c r="F72" s="3">
        <v>62</v>
      </c>
      <c r="G72" s="8">
        <v>1950</v>
      </c>
      <c r="H72" s="8">
        <v>120900</v>
      </c>
      <c r="I72" s="8">
        <v>77376</v>
      </c>
      <c r="J72" s="9">
        <f>IF(H72=0,0,(H72-I72)/H72)</f>
        <v>0.36</v>
      </c>
    </row>
    <row r="73" spans="1:10">
      <c r="A73" s="7">
        <v>46173</v>
      </c>
      <c r="B73" s="3" t="s">
        <v>26</v>
      </c>
      <c r="C73" s="3" t="s">
        <v>15</v>
      </c>
      <c r="D73" s="3" t="s">
        <v>17</v>
      </c>
      <c r="E73" s="3" t="s">
        <v>45</v>
      </c>
      <c r="F73" s="3">
        <v>65</v>
      </c>
      <c r="G73" s="8">
        <v>1200</v>
      </c>
      <c r="H73" s="8">
        <v>78000</v>
      </c>
      <c r="I73" s="8">
        <v>52260</v>
      </c>
      <c r="J73" s="9">
        <f>IF(H73=0,0,(H73-I73)/H73)</f>
        <v>0.33</v>
      </c>
    </row>
    <row r="74" spans="1:10">
      <c r="A74" s="7">
        <v>46173</v>
      </c>
      <c r="B74" s="3" t="s">
        <v>26</v>
      </c>
      <c r="C74" s="3" t="s">
        <v>20</v>
      </c>
      <c r="D74" s="3" t="s">
        <v>22</v>
      </c>
      <c r="E74" s="3" t="s">
        <v>46</v>
      </c>
      <c r="F74" s="3">
        <v>68</v>
      </c>
      <c r="G74" s="8">
        <v>1450</v>
      </c>
      <c r="H74" s="8">
        <v>98600</v>
      </c>
      <c r="I74" s="8">
        <v>69020</v>
      </c>
      <c r="J74" s="9">
        <f>IF(H74=0,0,(H74-I74)/H74)</f>
        <v>0.3</v>
      </c>
    </row>
    <row r="75" spans="1:10">
      <c r="A75" s="7">
        <v>46173</v>
      </c>
      <c r="B75" s="3" t="s">
        <v>26</v>
      </c>
      <c r="C75" s="3" t="s">
        <v>25</v>
      </c>
      <c r="D75" s="3" t="s">
        <v>27</v>
      </c>
      <c r="E75" s="3" t="s">
        <v>47</v>
      </c>
      <c r="F75" s="3">
        <v>50</v>
      </c>
      <c r="G75" s="8">
        <v>1700</v>
      </c>
      <c r="H75" s="8">
        <v>85000</v>
      </c>
      <c r="I75" s="8">
        <v>49300</v>
      </c>
      <c r="J75" s="9">
        <f>IF(H75=0,0,(H75-I75)/H75)</f>
        <v>0.42</v>
      </c>
    </row>
    <row r="76" spans="1:10">
      <c r="A76" s="7">
        <v>46173</v>
      </c>
      <c r="B76" s="3" t="s">
        <v>26</v>
      </c>
      <c r="C76" s="3" t="s">
        <v>29</v>
      </c>
      <c r="D76" s="3" t="s">
        <v>30</v>
      </c>
      <c r="E76" s="3" t="s">
        <v>44</v>
      </c>
      <c r="F76" s="3">
        <v>53</v>
      </c>
      <c r="G76" s="8">
        <v>1950</v>
      </c>
      <c r="H76" s="8">
        <v>103350</v>
      </c>
      <c r="I76" s="8">
        <v>63043.5</v>
      </c>
      <c r="J76" s="9">
        <f>IF(H76=0,0,(H76-I76)/H76)</f>
        <v>0.39</v>
      </c>
    </row>
  </sheetData>
  <mergeCells count="1">
    <mergeCell ref="A1:J2"/>
  </mergeCells>
  <pageMargins left="0.75" right="0.75" top="1" bottom="1" header="0.5" footer="0.5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12"/>
  <sheetViews>
    <sheetView showGridLines="0" workbookViewId="0">
      <pane xSplit="1" ySplit="6" topLeftCell="B7" activePane="bottomRight" state="frozen"/>
      <selection pane="bottomRight"/>
      <selection pane="bottomLeft"/>
      <selection pane="topRight"/>
    </sheetView>
  </sheetViews>
  <sheetFormatPr defaultRowHeight="15"/>
  <cols>
    <col min="1" max="1" width="20" customWidth="1"/>
    <col min="2" max="13" width="12" customWidth="1"/>
    <col min="15" max="15" width="16" customWidth="1"/>
  </cols>
  <sheetData>
    <row r="1" spans="1:15">
      <c r="A1" s="17" t="s">
        <v>48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5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</row>
    <row r="4" spans="1:15">
      <c r="A4" s="4" t="s">
        <v>49</v>
      </c>
      <c r="B4" s="11" t="s">
        <v>14</v>
      </c>
    </row>
    <row r="6" spans="1:15">
      <c r="A6" s="12" t="s">
        <v>50</v>
      </c>
      <c r="B6" s="16" t="s">
        <v>51</v>
      </c>
      <c r="C6" s="16" t="s">
        <v>52</v>
      </c>
      <c r="D6" s="16" t="s">
        <v>53</v>
      </c>
      <c r="E6" s="16" t="s">
        <v>54</v>
      </c>
      <c r="F6" s="16" t="s">
        <v>55</v>
      </c>
      <c r="G6" s="16" t="s">
        <v>56</v>
      </c>
      <c r="H6" s="16" t="s">
        <v>57</v>
      </c>
      <c r="I6" s="16" t="s">
        <v>58</v>
      </c>
      <c r="J6" s="16" t="s">
        <v>59</v>
      </c>
      <c r="K6" s="16" t="s">
        <v>60</v>
      </c>
      <c r="L6" s="16" t="s">
        <v>61</v>
      </c>
      <c r="M6" s="16" t="s">
        <v>62</v>
      </c>
      <c r="O6" s="4" t="s">
        <v>63</v>
      </c>
    </row>
    <row r="7" spans="1:15">
      <c r="A7" s="13" t="s">
        <v>40</v>
      </c>
      <c r="B7" s="8">
        <v>700000</v>
      </c>
      <c r="C7" s="8">
        <v>725000</v>
      </c>
      <c r="D7" s="8">
        <v>750000</v>
      </c>
      <c r="E7" s="8">
        <v>775000</v>
      </c>
      <c r="F7" s="8">
        <v>800000</v>
      </c>
      <c r="G7" s="8">
        <v>825000</v>
      </c>
      <c r="H7" s="8">
        <v>850000</v>
      </c>
      <c r="I7" s="8">
        <v>875000</v>
      </c>
      <c r="J7" s="8">
        <v>900000</v>
      </c>
      <c r="K7" s="8">
        <v>925000</v>
      </c>
      <c r="L7" s="8">
        <v>950000</v>
      </c>
      <c r="M7" s="8">
        <v>975000</v>
      </c>
      <c r="O7" s="10">
        <f>AVERAGE(B7:M7)*IF($B$4="Upside",1.08,IF($B$4="Downside",0.92,1))-AVERAGE(B7:M7)</f>
        <v>0</v>
      </c>
    </row>
    <row r="8" spans="1:15">
      <c r="A8" s="14" t="s">
        <v>64</v>
      </c>
      <c r="B8" s="8">
        <f>B7*0.18</f>
        <v>126000</v>
      </c>
      <c r="C8" s="8">
        <f>C7*0.18</f>
        <v>130500</v>
      </c>
      <c r="D8" s="8">
        <f>D7*0.18</f>
        <v>135000</v>
      </c>
      <c r="E8" s="8">
        <f>E7*0.18</f>
        <v>139500</v>
      </c>
      <c r="F8" s="8">
        <f>F7*0.18</f>
        <v>144000</v>
      </c>
      <c r="G8" s="8">
        <f>G7*0.18</f>
        <v>148500</v>
      </c>
      <c r="H8" s="8">
        <f>H7*0.18</f>
        <v>153000</v>
      </c>
      <c r="I8" s="8">
        <f>I7*0.18</f>
        <v>157500</v>
      </c>
      <c r="J8" s="8">
        <f>J7*0.18</f>
        <v>162000</v>
      </c>
      <c r="K8" s="8">
        <f>K7*0.18</f>
        <v>166500</v>
      </c>
      <c r="L8" s="8">
        <f>L7*0.18</f>
        <v>171000</v>
      </c>
      <c r="M8" s="8">
        <f>M7*0.18</f>
        <v>175500</v>
      </c>
      <c r="O8" s="10">
        <f>AVERAGE(B8:M8)*IF($B$4="Upside",1.08,IF($B$4="Downside",0.92,1))-AVERAGE(B8:M8)</f>
        <v>0</v>
      </c>
    </row>
    <row r="9" spans="1:15">
      <c r="A9" s="14" t="s">
        <v>65</v>
      </c>
      <c r="B9" s="8">
        <v>180000</v>
      </c>
      <c r="C9" s="8">
        <v>185000</v>
      </c>
      <c r="D9" s="8">
        <v>190000</v>
      </c>
      <c r="E9" s="8">
        <v>195000</v>
      </c>
      <c r="F9" s="8">
        <v>200000</v>
      </c>
      <c r="G9" s="8">
        <v>205000</v>
      </c>
      <c r="H9" s="8">
        <v>210000</v>
      </c>
      <c r="I9" s="8">
        <v>215000</v>
      </c>
      <c r="J9" s="8">
        <v>220000</v>
      </c>
      <c r="K9" s="8">
        <v>225000</v>
      </c>
      <c r="L9" s="8">
        <v>230000</v>
      </c>
      <c r="M9" s="8">
        <v>235000</v>
      </c>
      <c r="O9" s="10">
        <f>AVERAGE(B9:M9)*IF($B$4="Upside",1.08,IF($B$4="Downside",0.92,1))-AVERAGE(B9:M9)</f>
        <v>0</v>
      </c>
    </row>
    <row r="10" spans="1:15">
      <c r="A10" s="14" t="s">
        <v>66</v>
      </c>
      <c r="B10" s="8">
        <v>120000</v>
      </c>
      <c r="C10" s="8">
        <v>126000</v>
      </c>
      <c r="D10" s="8">
        <v>132000</v>
      </c>
      <c r="E10" s="8">
        <v>138000</v>
      </c>
      <c r="F10" s="8">
        <v>144000</v>
      </c>
      <c r="G10" s="8">
        <v>150000</v>
      </c>
      <c r="H10" s="8">
        <v>156000</v>
      </c>
      <c r="I10" s="8">
        <v>162000</v>
      </c>
      <c r="J10" s="8">
        <v>168000</v>
      </c>
      <c r="K10" s="8">
        <v>174000</v>
      </c>
      <c r="L10" s="8">
        <v>180000</v>
      </c>
      <c r="M10" s="8">
        <v>186000</v>
      </c>
      <c r="O10" s="10">
        <f>AVERAGE(B10:M10)*IF($B$4="Upside",1.08,IF($B$4="Downside",0.92,1))-AVERAGE(B10:M10)</f>
        <v>0</v>
      </c>
    </row>
    <row r="11" spans="1:15">
      <c r="A11" s="13" t="s">
        <v>67</v>
      </c>
      <c r="B11" s="8">
        <f>B7-B8-B9-B10</f>
        <v>274000</v>
      </c>
      <c r="C11" s="8">
        <f>C7-C8-C9-C10</f>
        <v>283500</v>
      </c>
      <c r="D11" s="8">
        <f>D7-D8-D9-D10</f>
        <v>293000</v>
      </c>
      <c r="E11" s="8">
        <f>E7-E8-E9-E10</f>
        <v>302500</v>
      </c>
      <c r="F11" s="8">
        <f>F7-F8-F9-F10</f>
        <v>312000</v>
      </c>
      <c r="G11" s="8">
        <f>G7-G8-G9-G10</f>
        <v>321500</v>
      </c>
      <c r="H11" s="8">
        <f>H7-H8-H9-H10</f>
        <v>331000</v>
      </c>
      <c r="I11" s="8">
        <f>I7-I8-I9-I10</f>
        <v>340500</v>
      </c>
      <c r="J11" s="8">
        <f>J7-J8-J9-J10</f>
        <v>350000</v>
      </c>
      <c r="K11" s="8">
        <f>K7-K8-K9-K10</f>
        <v>359500</v>
      </c>
      <c r="L11" s="8">
        <f>L7-L8-L9-L10</f>
        <v>369000</v>
      </c>
      <c r="M11" s="8">
        <f>M7-M8-M9-M10</f>
        <v>378500</v>
      </c>
      <c r="O11" s="10">
        <f>AVERAGE(B11:M11)*IF($B$4="Upside",1.08,IF($B$4="Downside",0.92,1))-AVERAGE(B11:M11)</f>
        <v>0</v>
      </c>
    </row>
    <row r="12" spans="1:15">
      <c r="A12" s="13" t="s">
        <v>68</v>
      </c>
      <c r="B12" s="9">
        <f>IF(B7=0,0,B11/B7)</f>
        <v>0.3914285714285714</v>
      </c>
      <c r="C12" s="9">
        <f>IF(C7=0,0,C11/C7)</f>
        <v>0.39103448275862068</v>
      </c>
      <c r="D12" s="9">
        <f>IF(D7=0,0,D11/D7)</f>
        <v>0.39066666666666666</v>
      </c>
      <c r="E12" s="9">
        <f>IF(E7=0,0,E11/E7)</f>
        <v>0.39032258064516129</v>
      </c>
      <c r="F12" s="9">
        <f>IF(F7=0,0,F11/F7)</f>
        <v>0.39</v>
      </c>
      <c r="G12" s="9">
        <f>IF(G7=0,0,G11/G7)</f>
        <v>0.38969696969696971</v>
      </c>
      <c r="H12" s="9">
        <f>IF(H7=0,0,H11/H7)</f>
        <v>0.38941176470588235</v>
      </c>
      <c r="I12" s="9">
        <f>IF(I7=0,0,I11/I7)</f>
        <v>0.38914285714285712</v>
      </c>
      <c r="J12" s="9">
        <f>IF(J7=0,0,J11/J7)</f>
        <v>0.3888888888888889</v>
      </c>
      <c r="K12" s="9">
        <f>IF(K7=0,0,K11/K7)</f>
        <v>0.38864864864864868</v>
      </c>
      <c r="L12" s="9">
        <f>IF(L7=0,0,L11/L7)</f>
        <v>0.38842105263157894</v>
      </c>
      <c r="M12" s="9">
        <f>IF(M7=0,0,M11/M7)</f>
        <v>0.3882051282051282</v>
      </c>
      <c r="O12" s="15">
        <f>AVERAGE(B12:M12)*IF($B$4="Upside",1.08,IF($B$4="Downside",0.92,1))-AVERAGE(B12:M12)</f>
        <v>0</v>
      </c>
    </row>
  </sheetData>
  <mergeCells count="1">
    <mergeCell ref="A1:N2"/>
  </mergeCells>
  <conditionalFormatting sqref="B7:M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7:O12">
    <cfRule type="cellIs" dxfId="2" priority="2" operator="greaterThan">
      <formula>0</formula>
    </cfRule>
    <cfRule type="cellIs" dxfId="1" priority="3" operator="lessThan">
      <formula>0</formula>
    </cfRule>
  </conditionalFormatting>
  <dataValidations count="1">
    <dataValidation type="list" sqref="B4" xr:uid="{00000000-0002-0000-0300-000000000000}">
      <formula1>ScenarioList</formula1>
    </dataValidation>
  </dataValidations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9"/>
  <sheetViews>
    <sheetView showGridLines="0" workbookViewId="0"/>
  </sheetViews>
  <sheetFormatPr defaultRowHeight="15"/>
  <cols>
    <col min="1" max="1" width="16" customWidth="1"/>
    <col min="2" max="2" width="14" customWidth="1"/>
    <col min="3" max="3" width="3" customWidth="1"/>
    <col min="4" max="4" width="14" customWidth="1"/>
    <col min="5" max="5" width="20" customWidth="1"/>
    <col min="6" max="6" width="2" customWidth="1"/>
    <col min="7" max="11" width="14" customWidth="1"/>
  </cols>
  <sheetData>
    <row r="1" spans="1:11">
      <c r="A1" s="17" t="s">
        <v>13</v>
      </c>
      <c r="B1" s="18"/>
      <c r="C1" s="18"/>
      <c r="D1" s="18"/>
      <c r="E1" s="18"/>
      <c r="F1" s="18"/>
      <c r="G1" s="18"/>
      <c r="H1" s="18"/>
      <c r="I1" s="18"/>
      <c r="J1" s="18"/>
      <c r="K1" s="18"/>
    </row>
    <row r="2" spans="1:11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</row>
    <row r="4" spans="1:11">
      <c r="A4" s="4" t="s">
        <v>49</v>
      </c>
      <c r="B4" s="11" t="str">
        <f>Budget!B4</f>
        <v>Base</v>
      </c>
      <c r="D4" s="4" t="s">
        <v>69</v>
      </c>
      <c r="E4" s="6" t="s">
        <v>70</v>
      </c>
    </row>
    <row r="7" spans="1:11">
      <c r="A7" s="13" t="s">
        <v>40</v>
      </c>
      <c r="B7" s="10">
        <f>SUM(Sales_Data[Revenue])</f>
        <v>5529600</v>
      </c>
    </row>
    <row r="8" spans="1:11">
      <c r="A8" s="13" t="s">
        <v>41</v>
      </c>
      <c r="B8" s="10">
        <f>SUM(Sales_Data[Cost])</f>
        <v>3532993.5</v>
      </c>
    </row>
    <row r="9" spans="1:11">
      <c r="A9" s="13" t="s">
        <v>71</v>
      </c>
      <c r="B9" s="10">
        <f>B7-B8</f>
        <v>1996606.5</v>
      </c>
    </row>
    <row r="10" spans="1:11">
      <c r="A10" s="13" t="s">
        <v>72</v>
      </c>
      <c r="B10" s="15">
        <f>IF(B7=0,0,B9/B7)</f>
        <v>0.3610761176215278</v>
      </c>
    </row>
    <row r="12" spans="1:11">
      <c r="A12" s="5" t="s">
        <v>73</v>
      </c>
    </row>
    <row r="25" spans="1:2">
      <c r="A25" s="6" t="s">
        <v>35</v>
      </c>
      <c r="B25" s="6" t="s">
        <v>40</v>
      </c>
    </row>
    <row r="26" spans="1:2">
      <c r="A26" s="6" t="s">
        <v>15</v>
      </c>
      <c r="B26" s="6">
        <f>SUMIFS(Sales_Data[Revenue],Sales_Data[Category],A26)</f>
        <v>1051200</v>
      </c>
    </row>
    <row r="27" spans="1:2">
      <c r="A27" s="6" t="s">
        <v>20</v>
      </c>
      <c r="B27" s="6">
        <f>SUMIFS(Sales_Data[Revenue],Sales_Data[Category],A27)</f>
        <v>1287600</v>
      </c>
    </row>
    <row r="28" spans="1:2">
      <c r="A28" s="6" t="s">
        <v>25</v>
      </c>
      <c r="B28" s="6">
        <f>SUMIFS(Sales_Data[Revenue],Sales_Data[Category],A28)</f>
        <v>1494300</v>
      </c>
    </row>
    <row r="29" spans="1:2">
      <c r="A29" s="6" t="s">
        <v>29</v>
      </c>
      <c r="B29" s="6">
        <f>SUMIFS(Sales_Data[Revenue],Sales_Data[Category],A29)</f>
        <v>1696500</v>
      </c>
    </row>
  </sheetData>
  <mergeCells count="1">
    <mergeCell ref="A1:K2"/>
  </mergeCells>
  <hyperlinks>
    <hyperlink ref="A12" r:id="rId1" xr:uid="{00000000-0004-0000-0400-000000000000}"/>
  </hyperlinks>
  <pageMargins left="0.75" right="0.75" top="1" bottom="1" header="0.5" footer="0.5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4"/>
  <sheetViews>
    <sheetView showGridLines="0" tabSelected="1" workbookViewId="0"/>
  </sheetViews>
  <sheetFormatPr defaultRowHeight="15"/>
  <cols>
    <col min="1" max="1" width="18" customWidth="1"/>
    <col min="2" max="3" width="12" customWidth="1"/>
    <col min="4" max="4" width="14" customWidth="1"/>
    <col min="5" max="5" width="12" customWidth="1"/>
    <col min="6" max="6" width="10" customWidth="1"/>
  </cols>
  <sheetData>
    <row r="1" spans="1:6">
      <c r="A1" s="17" t="s">
        <v>74</v>
      </c>
      <c r="B1" s="18"/>
      <c r="C1" s="18"/>
      <c r="D1" s="18"/>
      <c r="E1" s="18"/>
      <c r="F1" s="18"/>
    </row>
    <row r="2" spans="1:6">
      <c r="A2" s="18"/>
      <c r="B2" s="18"/>
      <c r="C2" s="18"/>
      <c r="D2" s="18"/>
      <c r="E2" s="18"/>
      <c r="F2" s="18"/>
    </row>
    <row r="4" spans="1:6">
      <c r="A4" s="16" t="s">
        <v>75</v>
      </c>
      <c r="B4" s="16" t="s">
        <v>36</v>
      </c>
      <c r="C4" s="16" t="s">
        <v>34</v>
      </c>
      <c r="D4" s="16" t="s">
        <v>76</v>
      </c>
      <c r="E4" s="16" t="s">
        <v>77</v>
      </c>
      <c r="F4" s="16" t="s">
        <v>78</v>
      </c>
    </row>
    <row r="5" spans="1:6">
      <c r="A5" s="3" t="s">
        <v>79</v>
      </c>
      <c r="B5" s="1"/>
      <c r="C5" s="1"/>
      <c r="D5" s="1"/>
      <c r="E5" s="7">
        <v>46143</v>
      </c>
      <c r="F5" s="3">
        <v>40</v>
      </c>
    </row>
    <row r="6" spans="1:6">
      <c r="A6" s="3" t="s">
        <v>80</v>
      </c>
      <c r="B6" s="1"/>
      <c r="C6" s="1"/>
      <c r="D6" s="1"/>
      <c r="E6" s="7">
        <v>46144</v>
      </c>
      <c r="F6" s="3">
        <v>46</v>
      </c>
    </row>
    <row r="7" spans="1:6">
      <c r="A7" s="3" t="s">
        <v>81</v>
      </c>
      <c r="B7" s="1"/>
      <c r="C7" s="1"/>
      <c r="D7" s="1"/>
      <c r="E7" s="7">
        <v>46145</v>
      </c>
      <c r="F7" s="3">
        <v>52</v>
      </c>
    </row>
    <row r="8" spans="1:6">
      <c r="A8" s="3" t="s">
        <v>82</v>
      </c>
      <c r="B8" s="1"/>
      <c r="C8" s="1"/>
      <c r="D8" s="1"/>
      <c r="E8" s="7">
        <v>46146</v>
      </c>
      <c r="F8" s="3">
        <v>58</v>
      </c>
    </row>
    <row r="9" spans="1:6">
      <c r="A9" s="3" t="s">
        <v>83</v>
      </c>
      <c r="B9" s="1"/>
      <c r="C9" s="1"/>
      <c r="D9" s="1"/>
      <c r="E9" s="7">
        <v>46147</v>
      </c>
      <c r="F9" s="3">
        <v>64</v>
      </c>
    </row>
    <row r="10" spans="1:6">
      <c r="A10" s="3" t="s">
        <v>84</v>
      </c>
      <c r="B10" s="1"/>
      <c r="C10" s="1"/>
      <c r="D10" s="1"/>
      <c r="E10" s="7">
        <v>46148</v>
      </c>
      <c r="F10" s="3">
        <v>70</v>
      </c>
    </row>
    <row r="11" spans="1:6">
      <c r="A11" s="3" t="s">
        <v>85</v>
      </c>
      <c r="B11" s="1"/>
      <c r="C11" s="1"/>
      <c r="D11" s="1"/>
      <c r="E11" s="7">
        <v>46149</v>
      </c>
      <c r="F11" s="3">
        <v>76</v>
      </c>
    </row>
    <row r="12" spans="1:6">
      <c r="A12" s="3" t="s">
        <v>86</v>
      </c>
      <c r="B12" s="1"/>
      <c r="C12" s="1"/>
      <c r="D12" s="1"/>
      <c r="E12" s="7">
        <v>46150</v>
      </c>
      <c r="F12" s="3">
        <v>82</v>
      </c>
    </row>
    <row r="13" spans="1:6">
      <c r="A13" s="3" t="s">
        <v>87</v>
      </c>
      <c r="B13" s="1"/>
      <c r="C13" s="1"/>
      <c r="D13" s="1"/>
      <c r="E13" s="7">
        <v>46151</v>
      </c>
      <c r="F13" s="3">
        <v>88</v>
      </c>
    </row>
    <row r="14" spans="1:6">
      <c r="A14" s="3" t="s">
        <v>88</v>
      </c>
      <c r="B14" s="1"/>
      <c r="C14" s="1"/>
      <c r="D14" s="1"/>
      <c r="E14" s="7">
        <v>46152</v>
      </c>
      <c r="F14" s="3">
        <v>94</v>
      </c>
    </row>
  </sheetData>
  <mergeCells count="1">
    <mergeCell ref="A1:F2"/>
  </mergeCells>
  <conditionalFormatting sqref="F5:F14">
    <cfRule type="colorScale" priority="1">
      <colorScale>
        <cfvo type="num" val="40"/>
        <cfvo type="num" val="70"/>
        <cfvo type="num" val="100"/>
        <color rgb="FFF8696B"/>
        <color rgb="FFFFEB84"/>
        <color rgb="FF63BE7B"/>
      </colorScale>
    </cfRule>
  </conditionalFormatting>
  <conditionalFormatting sqref="D5:D14">
    <cfRule type="expression" dxfId="0" priority="2">
      <formula>$D5="Blocked"</formula>
    </cfRule>
  </conditionalFormatting>
  <dataValidations count="3">
    <dataValidation type="list" sqref="B5 B6 B7 B8 B9 B10 B11 B12 B13 B14" xr:uid="{00000000-0002-0000-0500-000000000000}">
      <formula1>OwnerList</formula1>
    </dataValidation>
    <dataValidation type="list" sqref="C5 C6 C7 C8 C9 C10 C11 C12 C13 C14" xr:uid="{00000000-0002-0000-0500-000001000000}">
      <formula1>RegionList</formula1>
    </dataValidation>
    <dataValidation type="list" sqref="D5 D6 D7 D8 D9 D10 D11 D12 D13 D14" xr:uid="{00000000-0002-0000-0500-000002000000}">
      <formula1>StatusList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2026-04-19T03:20:31Z</dcterms:created>
  <dcterms:modified xsi:type="dcterms:W3CDTF">2026-04-19T04:02:53Z</dcterms:modified>
  <cp:category/>
  <cp:contentStatus/>
</cp:coreProperties>
</file>
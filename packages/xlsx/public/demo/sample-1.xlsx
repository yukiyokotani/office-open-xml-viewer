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36a24d2af31add2c/ドキュメント/"/>
    </mc:Choice>
  </mc:AlternateContent>
  <xr:revisionPtr revIDLastSave="0" documentId="8_{4334031F-DE9F-431C-A171-4C46C7CC5662}" xr6:coauthVersionLast="47" xr6:coauthVersionMax="47" xr10:uidLastSave="{00000000-0000-0000-0000-000000000000}"/>
  <bookViews>
    <workbookView xWindow="540" yWindow="740" windowWidth="28300" windowHeight="17160" xr2:uid="{99EBE5A5-B4BD-B34A-B298-53C39FC19788}"/>
  </bookViews>
  <sheets>
    <sheet name="Dashboard" sheetId="1" r:id="rId1"/>
    <sheet name="Forest Inventory" sheetId="2" r:id="rId2"/>
    <sheet name="Species Analysis" sheetId="3" r:id="rId3"/>
    <sheet name="Carbon &amp; Growth" sheetId="4" r:id="rId4"/>
    <sheet name="Biodiversity Index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E12" i="1"/>
  <c r="B12" i="1"/>
  <c r="H8" i="1"/>
  <c r="H9" i="5"/>
  <c r="H10" i="5"/>
  <c r="H19" i="1" s="1"/>
  <c r="H11" i="5"/>
  <c r="H20" i="1" s="1"/>
  <c r="H12" i="5"/>
  <c r="H21" i="1" s="1"/>
  <c r="H13" i="5"/>
  <c r="H22" i="1" s="1"/>
  <c r="H14" i="5"/>
  <c r="H23" i="1" s="1"/>
  <c r="H15" i="5"/>
  <c r="H24" i="1" s="1"/>
  <c r="H16" i="5"/>
  <c r="H25" i="1" s="1"/>
  <c r="H17" i="5"/>
  <c r="H26" i="1" s="1"/>
  <c r="H18" i="5"/>
  <c r="H27" i="1" s="1"/>
  <c r="C26" i="4"/>
  <c r="C25" i="4"/>
  <c r="C24" i="4"/>
  <c r="C23" i="4"/>
  <c r="C22" i="4"/>
  <c r="G10" i="4"/>
  <c r="G11" i="4"/>
  <c r="G12" i="4"/>
  <c r="G13" i="4"/>
  <c r="G14" i="4"/>
  <c r="G15" i="4"/>
  <c r="G16" i="4"/>
  <c r="G17" i="4"/>
  <c r="G18" i="4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J30" i="2"/>
  <c r="I30" i="2"/>
  <c r="H30" i="2"/>
  <c r="G30" i="2"/>
  <c r="F30" i="2"/>
  <c r="E30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I5" i="2"/>
  <c r="B8" i="1" s="1"/>
  <c r="F5" i="2"/>
  <c r="E8" i="1" l="1"/>
  <c r="K30" i="2"/>
  <c r="H18" i="1"/>
  <c r="H12" i="1"/>
</calcChain>
</file>

<file path=xl/comments1.xml><?xml version="1.0" encoding="utf-8"?>
<comments xmlns="http://schemas.openxmlformats.org/spreadsheetml/2006/main" xmlns:x15ac="http://schemas.microsoft.com/office/spreadsheetml/2010/11/ac">
  <authors>
    <author>tc={11111111-1111-4111-8111-111111111111}</author>
  </authors>
  <commentList>
    <comment ref="B18" authorId="0" x15ac:uid="{11111111-1111-4111-8111-111111111111}">
      <text>
        <t>[Threaded comment]
Confirm this regional summary before publishing.
Reply: Verified against the source inventory.</t>
      </text>
    </comment>
  </commentList>
</comments>
</file>

<file path=xl/sharedStrings.xml><?xml version="1.0" encoding="utf-8"?>
<sst xmlns="http://schemas.openxmlformats.org/spreadsheetml/2006/main" count="204" uniqueCount="130">
  <si>
    <t>Evergreen Research Reserve</t>
  </si>
  <si>
    <t>Forest Analytics Dashboard  ·  FY 2024  ·  Fictitious demonstration data</t>
  </si>
  <si>
    <t>Monitoring forest health, growth, and biodiversity across 10 regions and 702 hectares.</t>
  </si>
  <si>
    <t>TOTAL AREA</t>
  </si>
  <si>
    <t>TREES SURVEYED</t>
  </si>
  <si>
    <t>CO₂ SEQUESTERED (2024)</t>
  </si>
  <si>
    <t>HECTARES</t>
  </si>
  <si>
    <t>TOTAL</t>
  </si>
  <si>
    <t>TONNES</t>
  </si>
  <si>
    <t>SPECIES TRACKED</t>
  </si>
  <si>
    <t>AVG HEALTH SCORE</t>
  </si>
  <si>
    <t>AVG BIODIVERSITY</t>
  </si>
  <si>
    <t>UNIQUE</t>
  </si>
  <si>
    <t>OUT OF 100</t>
  </si>
  <si>
    <t>INDEX SCORE</t>
  </si>
  <si>
    <t>Regional Overview</t>
  </si>
  <si>
    <t>Region</t>
  </si>
  <si>
    <t>Plots</t>
  </si>
  <si>
    <t>Area (ha)</t>
  </si>
  <si>
    <t>Trees</t>
  </si>
  <si>
    <t>Biomass (t)</t>
  </si>
  <si>
    <t>Health</t>
  </si>
  <si>
    <t>Biodiversity</t>
  </si>
  <si>
    <t>Northridge</t>
  </si>
  <si>
    <t>Willowbrook</t>
  </si>
  <si>
    <t>Cedar Hollow</t>
  </si>
  <si>
    <t>Mossvale</t>
  </si>
  <si>
    <t>Birchfield</t>
  </si>
  <si>
    <t>Fernglen</t>
  </si>
  <si>
    <t>Pinehurst</t>
  </si>
  <si>
    <t>Oakridge</t>
  </si>
  <si>
    <t>Silverbrook</t>
  </si>
  <si>
    <t>Hollowvale</t>
  </si>
  <si>
    <t>Data sheets — Forest Inventory  ·  Species Analysis  ·  Carbon &amp; Growth  ·  Biodiversity Index</t>
  </si>
  <si>
    <t>Created by Claude for Excel</t>
  </si>
  <si>
    <t>Forest Inventory</t>
  </si>
  <si>
    <t>Plot-level survey of the Evergreen Research Reserve — fictitious dataset for demonstration</t>
  </si>
  <si>
    <t>Survey window</t>
  </si>
  <si>
    <t>Mar 2024 – Aug 2024</t>
  </si>
  <si>
    <t>Plots surveyed</t>
  </si>
  <si>
    <t>Total area (ha)</t>
  </si>
  <si>
    <t>Plot ID</t>
  </si>
  <si>
    <t>Forest Type</t>
  </si>
  <si>
    <t>Tree Count</t>
  </si>
  <si>
    <t>Avg DBH (cm)</t>
  </si>
  <si>
    <t>Canopy Cover</t>
  </si>
  <si>
    <t>Health Score</t>
  </si>
  <si>
    <t>Trees / ha</t>
  </si>
  <si>
    <t>EV-001</t>
  </si>
  <si>
    <t>Boreal Conifer</t>
  </si>
  <si>
    <t>EV-002</t>
  </si>
  <si>
    <t>Mixed Temperate</t>
  </si>
  <si>
    <t>EV-003</t>
  </si>
  <si>
    <t>Riparian</t>
  </si>
  <si>
    <t>EV-004</t>
  </si>
  <si>
    <t>EV-005</t>
  </si>
  <si>
    <t>Old-growth Conifer</t>
  </si>
  <si>
    <t>EV-006</t>
  </si>
  <si>
    <t>EV-007</t>
  </si>
  <si>
    <t>Broadleaf Deciduous</t>
  </si>
  <si>
    <t>EV-008</t>
  </si>
  <si>
    <t>EV-009</t>
  </si>
  <si>
    <t>EV-010</t>
  </si>
  <si>
    <t>EV-011</t>
  </si>
  <si>
    <t>EV-012</t>
  </si>
  <si>
    <t>EV-013</t>
  </si>
  <si>
    <t>EV-014</t>
  </si>
  <si>
    <t>EV-015</t>
  </si>
  <si>
    <t>EV-016</t>
  </si>
  <si>
    <t>EV-017</t>
  </si>
  <si>
    <t>EV-018</t>
  </si>
  <si>
    <t>EV-019</t>
  </si>
  <si>
    <t>EV-020</t>
  </si>
  <si>
    <t>TOTAL / AVG</t>
  </si>
  <si>
    <t>Health Score: 0–100 composite of pest incidence, foliage density, and mortality rate.</t>
  </si>
  <si>
    <t>Species Analysis</t>
  </si>
  <si>
    <t>Distribution, dominance, and ecological role of observed tree species</t>
  </si>
  <si>
    <t>Common Name</t>
  </si>
  <si>
    <t>Category</t>
  </si>
  <si>
    <t>Count</t>
  </si>
  <si>
    <t>Share</t>
  </si>
  <si>
    <t>Avg Height (m)</t>
  </si>
  <si>
    <t>Avg Lifespan (yr)</t>
  </si>
  <si>
    <t>Carbon / tree (kg)</t>
  </si>
  <si>
    <t>Status</t>
  </si>
  <si>
    <t>Species</t>
  </si>
  <si>
    <t>Silver Birch</t>
  </si>
  <si>
    <t>Deciduous</t>
  </si>
  <si>
    <t>Stable</t>
  </si>
  <si>
    <t>Scots Pine</t>
  </si>
  <si>
    <t>Conifer</t>
  </si>
  <si>
    <t>European Beech</t>
  </si>
  <si>
    <t>Norway Spruce</t>
  </si>
  <si>
    <t>Sessile Oak</t>
  </si>
  <si>
    <t>Monitored</t>
  </si>
  <si>
    <t>Black Alder</t>
  </si>
  <si>
    <t>Douglas Fir</t>
  </si>
  <si>
    <t>Rowan</t>
  </si>
  <si>
    <t>Western Hemlock</t>
  </si>
  <si>
    <t>Mountain Ash</t>
  </si>
  <si>
    <t>Recovering</t>
  </si>
  <si>
    <t>White Willow</t>
  </si>
  <si>
    <t>Aspen</t>
  </si>
  <si>
    <t>Yew</t>
  </si>
  <si>
    <t>Protected</t>
  </si>
  <si>
    <t>Hornbeam</t>
  </si>
  <si>
    <t>Juniper</t>
  </si>
  <si>
    <t>Carbon &amp; Growth</t>
  </si>
  <si>
    <t>Annual carbon sequestration and stand growth metrics, 2015–2024</t>
  </si>
  <si>
    <t>Year</t>
  </si>
  <si>
    <t>CO₂ Sequestered (t)</t>
  </si>
  <si>
    <t>Biomass Growth (t)</t>
  </si>
  <si>
    <t>New Seedlings</t>
  </si>
  <si>
    <t>Mortality Rate</t>
  </si>
  <si>
    <t>YoY Growth</t>
  </si>
  <si>
    <t>—</t>
  </si>
  <si>
    <t>10-year totals &amp; averages</t>
  </si>
  <si>
    <t>Total CO₂ sequestered (t)</t>
  </si>
  <si>
    <t>Avg annual biomass growth (t)</t>
  </si>
  <si>
    <t>Total seedlings introduced</t>
  </si>
  <si>
    <t>Avg mortality rate</t>
  </si>
  <si>
    <t>CAGR of sequestration</t>
  </si>
  <si>
    <t>Biodiversity Index</t>
  </si>
  <si>
    <t>Shannon – Simpson composite scoring of observed fauna and flora across regions</t>
  </si>
  <si>
    <t>Mammals</t>
  </si>
  <si>
    <t>Birds</t>
  </si>
  <si>
    <t>Insects</t>
  </si>
  <si>
    <t>Plants</t>
  </si>
  <si>
    <t>Shannon H'</t>
  </si>
  <si>
    <t>Index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</si>
</sst>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0.0"/>
    <numFmt numFmtId="178" formatCode="0.0%"/>
    <numFmt numFmtId="179" formatCode="\+0.0%;\-0.0%;0.0%"/>
  </numFmts>
  <fonts count="2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8"/>
      <color rgb="FF1B4332"/>
      <name val="Calibri"/>
      <family val="2"/>
    </font>
    <font>
      <i/>
      <sz val="11"/>
      <color rgb="FF6B7280"/>
      <name val="Calibri"/>
      <family val="2"/>
    </font>
    <font>
      <sz val="9"/>
      <color rgb="FF6B7280"/>
      <name val="Calibri"/>
      <family val="2"/>
    </font>
    <font>
      <b/>
      <sz val="10"/>
      <color rgb="FF1B4332"/>
      <name val="Calibri"/>
      <family val="2"/>
    </font>
    <font>
      <sz val="12"/>
      <color rgb="FFFFFFFF"/>
      <name val="游ゴシック"/>
      <family val="2"/>
      <charset val="128"/>
      <scheme val="minor"/>
    </font>
    <font>
      <b/>
      <sz val="10"/>
      <color rgb="FFFFFFFF"/>
      <name val="Calibri"/>
      <family val="2"/>
    </font>
    <font>
      <sz val="10"/>
      <color rgb="FF264653"/>
      <name val="Calibri"/>
      <family val="2"/>
    </font>
    <font>
      <b/>
      <sz val="10"/>
      <color rgb="FF264653"/>
      <name val="Calibri"/>
      <family val="2"/>
    </font>
    <font>
      <i/>
      <sz val="9"/>
      <color rgb="FF6B7280"/>
      <name val="Calibri"/>
      <family val="2"/>
    </font>
    <font>
      <b/>
      <sz val="9"/>
      <color rgb="FF1B4332"/>
      <name val="Calibri"/>
      <family val="2"/>
    </font>
    <font>
      <b/>
      <sz val="9"/>
      <color rgb="FF8A6D0B"/>
      <name val="Calibri"/>
      <family val="2"/>
    </font>
    <font>
      <b/>
      <sz val="9"/>
      <color rgb="FFB4530A"/>
      <name val="Calibri"/>
      <family val="2"/>
    </font>
    <font>
      <b/>
      <sz val="9"/>
      <color rgb="FF1E4B8A"/>
      <name val="Calibri"/>
      <family val="2"/>
    </font>
    <font>
      <b/>
      <sz val="11"/>
      <color rgb="FF1B4332"/>
      <name val="Calibri"/>
      <family val="2"/>
    </font>
    <font>
      <b/>
      <sz val="12"/>
      <color rgb="FF1B4332"/>
      <name val="Calibri"/>
      <family val="2"/>
    </font>
    <font>
      <b/>
      <sz val="12"/>
      <color rgb="FF2D6A4F"/>
      <name val="Calibri"/>
      <family val="2"/>
    </font>
    <font>
      <b/>
      <sz val="30"/>
      <color rgb="FF1B4332"/>
      <name val="Calibri"/>
      <family val="2"/>
    </font>
    <font>
      <i/>
      <sz val="14"/>
      <color rgb="FFF8F9F4"/>
      <name val="Calibri"/>
      <family val="2"/>
    </font>
    <font>
      <b/>
      <sz val="9"/>
      <color rgb="FF6B7280"/>
      <name val="Calibri"/>
      <family val="2"/>
    </font>
    <font>
      <b/>
      <sz val="26"/>
      <color rgb="FF1B4332"/>
      <name val="Calibri"/>
      <family val="2"/>
    </font>
    <font>
      <b/>
      <sz val="9"/>
      <color rgb="FF2D6A4F"/>
      <name val="Calibri"/>
      <family val="2"/>
    </font>
    <font>
      <b/>
      <sz val="16"/>
      <color rgb="FF1B4332"/>
      <name val="Calibri"/>
      <family val="2"/>
    </font>
    <font>
      <i/>
      <sz val="10"/>
      <color rgb="FF6B7280"/>
      <name val="Calibri"/>
      <family val="2"/>
    </font>
    <font>
      <i/>
      <sz val="9"/>
      <color rgb="FF9CA3A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433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7F3"/>
        <bgColor indexed="64"/>
      </patternFill>
    </fill>
    <fill>
      <patternFill patternType="solid">
        <fgColor rgb="FFE8F1EB"/>
        <bgColor indexed="64"/>
      </patternFill>
    </fill>
    <fill>
      <patternFill patternType="solid">
        <fgColor rgb="FFD8F0DE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CE7F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B4332"/>
      </bottom>
      <diagonal/>
    </border>
    <border>
      <left/>
      <right/>
      <top style="thin">
        <color rgb="FF1B4332"/>
      </top>
      <bottom/>
      <diagonal/>
    </border>
    <border>
      <left style="thick">
        <color rgb="FF2D6A4F"/>
      </left>
      <right/>
      <top/>
      <bottom/>
      <diagonal/>
    </border>
    <border>
      <left/>
      <right/>
      <top/>
      <bottom style="thin">
        <color rgb="FF95D5B2"/>
      </bottom>
      <diagonal/>
    </border>
    <border>
      <left/>
      <right/>
      <top style="thin">
        <color rgb="FF95D5B2"/>
      </top>
      <bottom/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2" borderId="0" xfId="0" applyFont="1" applyFill="1" applyAlignment="1">
      <alignment horizontal="right" vertical="center"/>
    </xf>
    <xf numFmtId="0" fontId="8" fillId="0" borderId="0" xfId="0" applyFont="1">
      <alignment vertical="center"/>
    </xf>
    <xf numFmtId="0" fontId="8" fillId="3" borderId="0" xfId="0" applyFont="1" applyFill="1" applyAlignment="1">
      <alignment horizontal="left" vertical="center"/>
    </xf>
    <xf numFmtId="176" fontId="8" fillId="3" borderId="0" xfId="0" applyNumberFormat="1" applyFont="1" applyFill="1" applyAlignment="1">
      <alignment horizontal="right" vertical="center"/>
    </xf>
    <xf numFmtId="3" fontId="8" fillId="3" borderId="0" xfId="0" applyNumberFormat="1" applyFont="1" applyFill="1" applyAlignment="1">
      <alignment horizontal="right" vertical="center"/>
    </xf>
    <xf numFmtId="177" fontId="8" fillId="3" borderId="0" xfId="0" applyNumberFormat="1" applyFont="1" applyFill="1" applyAlignment="1">
      <alignment horizontal="right" vertical="center"/>
    </xf>
    <xf numFmtId="9" fontId="8" fillId="3" borderId="0" xfId="0" applyNumberFormat="1" applyFont="1" applyFill="1" applyAlignment="1">
      <alignment horizontal="right" vertical="center"/>
    </xf>
    <xf numFmtId="1" fontId="8" fillId="3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176" fontId="8" fillId="4" borderId="0" xfId="0" applyNumberFormat="1" applyFont="1" applyFill="1" applyAlignment="1">
      <alignment horizontal="right" vertical="center"/>
    </xf>
    <xf numFmtId="3" fontId="8" fillId="4" borderId="0" xfId="0" applyNumberFormat="1" applyFont="1" applyFill="1" applyAlignment="1">
      <alignment horizontal="right" vertical="center"/>
    </xf>
    <xf numFmtId="177" fontId="8" fillId="4" borderId="0" xfId="0" applyNumberFormat="1" applyFont="1" applyFill="1" applyAlignment="1">
      <alignment horizontal="right" vertical="center"/>
    </xf>
    <xf numFmtId="9" fontId="8" fillId="4" borderId="0" xfId="0" applyNumberFormat="1" applyFont="1" applyFill="1" applyAlignment="1">
      <alignment horizontal="right" vertical="center"/>
    </xf>
    <xf numFmtId="1" fontId="8" fillId="4" borderId="0" xfId="0" applyNumberFormat="1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2" xfId="0" applyFont="1" applyFill="1" applyBorder="1">
      <alignment vertical="center"/>
    </xf>
    <xf numFmtId="0" fontId="0" fillId="5" borderId="2" xfId="0" applyFill="1" applyBorder="1">
      <alignment vertical="center"/>
    </xf>
    <xf numFmtId="176" fontId="5" fillId="5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177" fontId="5" fillId="5" borderId="2" xfId="0" applyNumberFormat="1" applyFont="1" applyFill="1" applyBorder="1" applyAlignment="1">
      <alignment horizontal="right" vertical="center"/>
    </xf>
    <xf numFmtId="9" fontId="5" fillId="5" borderId="2" xfId="0" applyNumberFormat="1" applyFont="1" applyFill="1" applyBorder="1" applyAlignment="1">
      <alignment horizontal="right" vertical="center"/>
    </xf>
    <xf numFmtId="1" fontId="5" fillId="5" borderId="2" xfId="0" applyNumberFormat="1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8" fontId="8" fillId="3" borderId="0" xfId="0" applyNumberFormat="1" applyFont="1" applyFill="1" applyAlignment="1">
      <alignment horizontal="right" vertical="center"/>
    </xf>
    <xf numFmtId="1" fontId="8" fillId="3" borderId="0" xfId="0" applyNumberFormat="1" applyFont="1" applyFill="1" applyAlignment="1">
      <alignment horizontal="right" vertical="center"/>
    </xf>
    <xf numFmtId="178" fontId="8" fillId="4" borderId="0" xfId="0" applyNumberFormat="1" applyFont="1" applyFill="1" applyAlignment="1">
      <alignment horizontal="right" vertical="center"/>
    </xf>
    <xf numFmtId="1" fontId="8" fillId="4" borderId="0" xfId="0" applyNumberFormat="1" applyFont="1" applyFill="1" applyAlignment="1">
      <alignment horizontal="right" vertical="center"/>
    </xf>
    <xf numFmtId="0" fontId="11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3" fontId="6" fillId="0" borderId="0" xfId="0" applyNumberFormat="1" applyFont="1">
      <alignment vertical="center"/>
    </xf>
    <xf numFmtId="1" fontId="5" fillId="3" borderId="0" xfId="0" applyNumberFormat="1" applyFont="1" applyFill="1" applyAlignment="1">
      <alignment horizontal="left" vertical="center"/>
    </xf>
    <xf numFmtId="179" fontId="8" fillId="3" borderId="0" xfId="0" applyNumberFormat="1" applyFont="1" applyFill="1" applyAlignment="1">
      <alignment horizontal="right" vertical="center"/>
    </xf>
    <xf numFmtId="1" fontId="5" fillId="4" borderId="0" xfId="0" applyNumberFormat="1" applyFont="1" applyFill="1" applyAlignment="1">
      <alignment horizontal="left" vertical="center"/>
    </xf>
    <xf numFmtId="179" fontId="8" fillId="4" borderId="0" xfId="0" applyNumberFormat="1" applyFont="1" applyFill="1" applyAlignment="1">
      <alignment horizontal="right" vertical="center"/>
    </xf>
    <xf numFmtId="0" fontId="15" fillId="0" borderId="0" xfId="0" applyFont="1">
      <alignment vertical="center"/>
    </xf>
    <xf numFmtId="3" fontId="16" fillId="0" borderId="0" xfId="0" applyNumberFormat="1" applyFont="1">
      <alignment vertical="center"/>
    </xf>
    <xf numFmtId="178" fontId="16" fillId="0" borderId="0" xfId="0" applyNumberFormat="1" applyFont="1">
      <alignment vertical="center"/>
    </xf>
    <xf numFmtId="179" fontId="17" fillId="0" borderId="0" xfId="0" applyNumberFormat="1" applyFont="1">
      <alignment vertical="center"/>
    </xf>
    <xf numFmtId="2" fontId="8" fillId="3" borderId="0" xfId="0" applyNumberFormat="1" applyFont="1" applyFill="1" applyAlignment="1">
      <alignment horizontal="right" vertical="center"/>
    </xf>
    <xf numFmtId="2" fontId="8" fillId="4" borderId="0" xfId="0" applyNumberFormat="1" applyFont="1" applyFill="1" applyAlignment="1">
      <alignment horizontal="right" vertical="center"/>
    </xf>
    <xf numFmtId="1" fontId="9" fillId="3" borderId="0" xfId="0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0" fontId="0" fillId="0" borderId="0" xfId="0">
      <alignment vertical="center"/>
    </xf>
    <xf numFmtId="0" fontId="7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1" fontId="9" fillId="3" borderId="0" xfId="0" applyNumberFormat="1" applyFont="1" applyFill="1" applyAlignment="1">
      <alignment horizontal="right" vertical="center"/>
    </xf>
    <xf numFmtId="1" fontId="9" fillId="4" borderId="0" xfId="0" applyNumberFormat="1" applyFont="1" applyFill="1" applyAlignment="1">
      <alignment horizontal="right" vertical="center"/>
    </xf>
    <xf numFmtId="0" fontId="22" fillId="4" borderId="3" xfId="0" applyFont="1" applyFill="1" applyBorder="1" applyAlignment="1">
      <alignment horizontal="left" vertical="top" indent="1"/>
    </xf>
    <xf numFmtId="0" fontId="23" fillId="0" borderId="4" xfId="0" applyFont="1" applyBorder="1" applyAlignment="1"/>
    <xf numFmtId="0" fontId="24" fillId="4" borderId="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21" fillId="4" borderId="3" xfId="0" applyNumberFormat="1" applyFont="1" applyFill="1" applyBorder="1" applyAlignment="1">
      <alignment horizontal="left" vertical="center" indent="1"/>
    </xf>
    <xf numFmtId="0" fontId="20" fillId="4" borderId="3" xfId="0" applyFont="1" applyFill="1" applyBorder="1" applyAlignment="1">
      <alignment horizontal="left" vertical="center" indent="1"/>
    </xf>
    <xf numFmtId="1" fontId="21" fillId="4" borderId="3" xfId="0" applyNumberFormat="1" applyFont="1" applyFill="1" applyBorder="1" applyAlignment="1">
      <alignment horizontal="left" vertical="center" indent="1"/>
    </xf>
    <xf numFmtId="177" fontId="21" fillId="4" borderId="3" xfId="0" applyNumberFormat="1" applyFont="1" applyFill="1" applyBorder="1" applyAlignment="1">
      <alignment horizontal="left" vertical="center" indent="1"/>
    </xf>
    <xf numFmtId="0" fontId="18" fillId="0" borderId="0" xfId="0" applyFont="1" applyAlignment="1"/>
    <xf numFmtId="0" fontId="3" fillId="0" borderId="0" xfId="0" applyFont="1" applyAlignment="1">
      <alignment vertical="top"/>
    </xf>
    <xf numFmtId="0" fontId="19" fillId="2" borderId="0" xfId="0" applyFont="1" applyFill="1" applyAlignment="1">
      <alignment horizontal="center" vertical="center"/>
    </xf>
    <xf numFmtId="176" fontId="21" fillId="4" borderId="3" xfId="0" applyNumberFormat="1" applyFont="1" applyFill="1" applyBorder="1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ja-JP" sz="1400" b="1" i="0" u="none" strike="noStrike" kern="1200" spc="0" baseline="0">
                <a:solidFill>
                  <a:srgbClr val="1B433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Population by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ja-JP" sz="1400" b="1" i="0" u="none" strike="noStrike" kern="1200" spc="0" baseline="0">
              <a:solidFill>
                <a:srgbClr val="1B4332"/>
              </a:solidFill>
              <a:latin typeface="Calibri"/>
              <a:ea typeface="Calibri"/>
              <a:cs typeface="Calibri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'Species Analysis'!$W$8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D6A4F"/>
            </a:solidFill>
            <a:ln>
              <a:noFill/>
            </a:ln>
            <a:effectLst/>
          </c:spPr>
          <c:invertIfNegative val="0"/>
          <c:cat>
            <c:strRef>
              <c:f>'Species Analysis'!$V$9:$V$23</c:f>
              <c:strCache>
                <c:ptCount val="15"/>
                <c:pt idx="0">
                  <c:v>Silver Birch</c:v>
                </c:pt>
                <c:pt idx="1">
                  <c:v>Scots Pine</c:v>
                </c:pt>
                <c:pt idx="2">
                  <c:v>European Beech</c:v>
                </c:pt>
                <c:pt idx="3">
                  <c:v>Norway Spruce</c:v>
                </c:pt>
                <c:pt idx="4">
                  <c:v>Sessile Oak</c:v>
                </c:pt>
                <c:pt idx="5">
                  <c:v>Black Alder</c:v>
                </c:pt>
                <c:pt idx="6">
                  <c:v>Douglas Fir</c:v>
                </c:pt>
                <c:pt idx="7">
                  <c:v>Rowan</c:v>
                </c:pt>
                <c:pt idx="8">
                  <c:v>Western Hemlock</c:v>
                </c:pt>
                <c:pt idx="9">
                  <c:v>Mountain Ash</c:v>
                </c:pt>
                <c:pt idx="10">
                  <c:v>White Willow</c:v>
                </c:pt>
                <c:pt idx="11">
                  <c:v>Aspen</c:v>
                </c:pt>
                <c:pt idx="12">
                  <c:v>Yew</c:v>
                </c:pt>
                <c:pt idx="13">
                  <c:v>Hornbeam</c:v>
                </c:pt>
                <c:pt idx="14">
                  <c:v>Juniper</c:v>
                </c:pt>
              </c:strCache>
            </c:strRef>
          </c:cat>
          <c:val>
            <c:numRef>
              <c:f>'Species Analysis'!$W$9:$W$23</c:f>
              <c:numCache>
                <c:formatCode>#,##0</c:formatCode>
                <c:ptCount val="15"/>
                <c:pt idx="0">
                  <c:v>8420</c:v>
                </c:pt>
                <c:pt idx="1">
                  <c:v>6710</c:v>
                </c:pt>
                <c:pt idx="2">
                  <c:v>5930</c:v>
                </c:pt>
                <c:pt idx="3">
                  <c:v>5240</c:v>
                </c:pt>
                <c:pt idx="4">
                  <c:v>4180</c:v>
                </c:pt>
                <c:pt idx="5">
                  <c:v>3620</c:v>
                </c:pt>
                <c:pt idx="6">
                  <c:v>3150</c:v>
                </c:pt>
                <c:pt idx="7">
                  <c:v>2480</c:v>
                </c:pt>
                <c:pt idx="8">
                  <c:v>2100</c:v>
                </c:pt>
                <c:pt idx="9">
                  <c:v>1740</c:v>
                </c:pt>
                <c:pt idx="10">
                  <c:v>1320</c:v>
                </c:pt>
                <c:pt idx="11">
                  <c:v>980</c:v>
                </c:pt>
                <c:pt idx="12">
                  <c:v>720</c:v>
                </c:pt>
                <c:pt idx="13">
                  <c:v>640</c:v>
                </c:pt>
                <c:pt idx="14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6-FD47-B202-85FA9F2A8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972511"/>
        <c:axId val="837765871"/>
      </c:barChart>
      <c:catAx>
        <c:axId val="562972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7765871"/>
        <c:crosses val="autoZero"/>
        <c:auto val="1"/>
        <c:lblAlgn val="ctr"/>
        <c:lblOffset val="100"/>
        <c:noMultiLvlLbl val="0"/>
      </c:catAx>
      <c:valAx>
        <c:axId val="83776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9725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ja-JP" sz="1400" b="1" i="0" u="none" strike="noStrike" kern="1200" spc="0" baseline="0">
                <a:solidFill>
                  <a:srgbClr val="1B433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CO₂ Sequestration &amp; Biomass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ja-JP" sz="1400" b="1" i="0" u="none" strike="noStrike" kern="1200" spc="0" baseline="0">
              <a:solidFill>
                <a:srgbClr val="1B4332"/>
              </a:solidFill>
              <a:latin typeface="Calibri"/>
              <a:ea typeface="Calibri"/>
              <a:cs typeface="Calibri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'Carbon &amp; Growth'!$B$7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rgbClr val="2D6A4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'Carbon &amp; Growth'!$B$8:$B$18</c:f>
              <c:numCache>
                <c:formatCode>0</c:formatCod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7-5D49-8144-849F550961FD}"/>
            </c:ext>
          </c:extLst>
        </c:ser>
        <c:ser>
          <c:idx val="1"/>
          <c:order val="1"/>
          <c:tx>
            <c:strRef>
              <c:f>'Carbon &amp; Growth'!$C$7</c:f>
              <c:strCache>
                <c:ptCount val="1"/>
                <c:pt idx="0">
                  <c:v>CO₂ Sequestered (t)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'Carbon &amp; Growth'!$C$8:$C$18</c:f>
              <c:numCache>
                <c:formatCode>#,##0</c:formatCode>
                <c:ptCount val="11"/>
                <c:pt idx="1">
                  <c:v>18420</c:v>
                </c:pt>
                <c:pt idx="2">
                  <c:v>19150</c:v>
                </c:pt>
                <c:pt idx="3">
                  <c:v>20080</c:v>
                </c:pt>
                <c:pt idx="4">
                  <c:v>19720</c:v>
                </c:pt>
                <c:pt idx="5">
                  <c:v>21340</c:v>
                </c:pt>
                <c:pt idx="6">
                  <c:v>22150</c:v>
                </c:pt>
                <c:pt idx="7">
                  <c:v>23480</c:v>
                </c:pt>
                <c:pt idx="8">
                  <c:v>24910</c:v>
                </c:pt>
                <c:pt idx="9">
                  <c:v>26240</c:v>
                </c:pt>
                <c:pt idx="10">
                  <c:v>27680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F7-5D49-8144-849F550961FD}"/>
            </c:ext>
          </c:extLst>
        </c:ser>
        <c:ser>
          <c:idx val="2"/>
          <c:order val="2"/>
          <c:tx>
            <c:strRef>
              <c:f>'Carbon &amp; Growth'!$D$7</c:f>
              <c:strCache>
                <c:ptCount val="1"/>
                <c:pt idx="0">
                  <c:v>Biomass Growth (t)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'Carbon &amp; Growth'!$D$8:$D$18</c:f>
              <c:numCache>
                <c:formatCode>#,##0</c:formatCode>
                <c:ptCount val="11"/>
                <c:pt idx="1">
                  <c:v>9240</c:v>
                </c:pt>
                <c:pt idx="2">
                  <c:v>9520</c:v>
                </c:pt>
                <c:pt idx="3">
                  <c:v>9880</c:v>
                </c:pt>
                <c:pt idx="4">
                  <c:v>9610</c:v>
                </c:pt>
                <c:pt idx="5">
                  <c:v>10420</c:v>
                </c:pt>
                <c:pt idx="6">
                  <c:v>10780</c:v>
                </c:pt>
                <c:pt idx="7">
                  <c:v>11320</c:v>
                </c:pt>
                <c:pt idx="8">
                  <c:v>11950</c:v>
                </c:pt>
                <c:pt idx="9">
                  <c:v>12510</c:v>
                </c:pt>
                <c:pt idx="10">
                  <c:v>13180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F7-5D49-8144-849F55096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296384"/>
        <c:axId val="234298096"/>
      </c:lineChart>
      <c:catAx>
        <c:axId val="234296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4298096"/>
        <c:crosses val="autoZero"/>
        <c:auto val="1"/>
        <c:lblAlgn val="ctr"/>
        <c:lblOffset val="100"/>
        <c:noMultiLvlLbl val="0"/>
      </c:catAx>
      <c:valAx>
        <c:axId val="23429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3429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ja-JP" sz="1400" b="1" i="0" u="none" strike="noStrike" kern="1200" spc="0" baseline="0">
                <a:solidFill>
                  <a:srgbClr val="1B433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CO₂ Sequestration &amp; Biomass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ja-JP" sz="1400" b="1" i="0" u="none" strike="noStrike" kern="1200" spc="0" baseline="0">
              <a:solidFill>
                <a:srgbClr val="1B4332"/>
              </a:solidFill>
              <a:latin typeface="Calibri"/>
              <a:ea typeface="Calibri"/>
              <a:cs typeface="Calibri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'Carbon &amp; Growth'!$B$7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rgbClr val="2D6A4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'Carbon &amp; Growth'!$B$8:$B$18</c:f>
              <c:numCache>
                <c:formatCode>0</c:formatCode>
                <c:ptCount val="11"/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7-7640-9C26-370802CD01FE}"/>
            </c:ext>
          </c:extLst>
        </c:ser>
        <c:ser>
          <c:idx val="1"/>
          <c:order val="1"/>
          <c:tx>
            <c:strRef>
              <c:f>'Carbon &amp; Growth'!$C$7</c:f>
              <c:strCache>
                <c:ptCount val="1"/>
                <c:pt idx="0">
                  <c:v>CO₂ Sequestered (t)</c:v>
                </c:pt>
              </c:strCache>
            </c:strRef>
          </c:tx>
          <c:spPr>
            <a:ln w="28575" cap="rnd">
              <a:solidFill>
                <a:srgbClr val="6B4423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'Carbon &amp; Growth'!$C$8:$C$18</c:f>
              <c:numCache>
                <c:formatCode>#,##0</c:formatCode>
                <c:ptCount val="11"/>
                <c:pt idx="1">
                  <c:v>18420</c:v>
                </c:pt>
                <c:pt idx="2">
                  <c:v>19150</c:v>
                </c:pt>
                <c:pt idx="3">
                  <c:v>20080</c:v>
                </c:pt>
                <c:pt idx="4">
                  <c:v>19720</c:v>
                </c:pt>
                <c:pt idx="5">
                  <c:v>21340</c:v>
                </c:pt>
                <c:pt idx="6">
                  <c:v>22150</c:v>
                </c:pt>
                <c:pt idx="7">
                  <c:v>23480</c:v>
                </c:pt>
                <c:pt idx="8">
                  <c:v>24910</c:v>
                </c:pt>
                <c:pt idx="9">
                  <c:v>26240</c:v>
                </c:pt>
                <c:pt idx="10">
                  <c:v>27680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7-7640-9C26-370802CD01FE}"/>
            </c:ext>
          </c:extLst>
        </c:ser>
        <c:ser>
          <c:idx val="2"/>
          <c:order val="2"/>
          <c:tx>
            <c:strRef>
              <c:f>'Carbon &amp; Growth'!$D$7</c:f>
              <c:strCache>
                <c:ptCount val="1"/>
                <c:pt idx="0">
                  <c:v>Biomass Growth (t)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'Carbon &amp; Growth'!$D$8:$D$18</c:f>
              <c:numCache>
                <c:formatCode>#,##0</c:formatCode>
                <c:ptCount val="11"/>
                <c:pt idx="1">
                  <c:v>9240</c:v>
                </c:pt>
                <c:pt idx="2">
                  <c:v>9520</c:v>
                </c:pt>
                <c:pt idx="3">
                  <c:v>9880</c:v>
                </c:pt>
                <c:pt idx="4">
                  <c:v>9610</c:v>
                </c:pt>
                <c:pt idx="5">
                  <c:v>10420</c:v>
                </c:pt>
                <c:pt idx="6">
                  <c:v>10780</c:v>
                </c:pt>
                <c:pt idx="7">
                  <c:v>11320</c:v>
                </c:pt>
                <c:pt idx="8">
                  <c:v>11950</c:v>
                </c:pt>
                <c:pt idx="9">
                  <c:v>12510</c:v>
                </c:pt>
                <c:pt idx="10">
                  <c:v>13180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7-7640-9C26-370802CD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626592"/>
        <c:axId val="510292064"/>
      </c:lineChart>
      <c:catAx>
        <c:axId val="50962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0292064"/>
        <c:crosses val="autoZero"/>
        <c:auto val="1"/>
        <c:lblAlgn val="ctr"/>
        <c:lblOffset val="100"/>
        <c:noMultiLvlLbl val="0"/>
      </c:catAx>
      <c:valAx>
        <c:axId val="5102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96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ja-JP" sz="1400" b="1" i="0" u="none" strike="noStrike" kern="1200" spc="0" baseline="0">
                <a:solidFill>
                  <a:srgbClr val="1B433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Taxonomic Richness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ja-JP" sz="1400" b="1" i="0" u="none" strike="noStrike" kern="1200" spc="0" baseline="0">
              <a:solidFill>
                <a:srgbClr val="1B4332"/>
              </a:solidFill>
              <a:latin typeface="Calibri"/>
              <a:ea typeface="Calibri"/>
              <a:cs typeface="Calibri"/>
            </a:defRPr>
          </a:pPr>
          <a:endParaRPr lang="ja-JP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'Biodiversity Index'!$C$7</c:f>
              <c:strCache>
                <c:ptCount val="1"/>
                <c:pt idx="0">
                  <c:v>Mammals</c:v>
                </c:pt>
              </c:strCache>
            </c:strRef>
          </c:tx>
          <c:spPr>
            <a:ln w="28575" cap="rnd">
              <a:solidFill>
                <a:srgbClr val="1B433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'Biodiversity Index'!$B$8:$B$18</c:f>
              <c:strCache>
                <c:ptCount val="11"/>
                <c:pt idx="1">
                  <c:v>Northridge</c:v>
                </c:pt>
                <c:pt idx="2">
                  <c:v>Willowbrook</c:v>
                </c:pt>
                <c:pt idx="3">
                  <c:v>Cedar Hollow</c:v>
                </c:pt>
                <c:pt idx="4">
                  <c:v>Mossvale</c:v>
                </c:pt>
                <c:pt idx="5">
                  <c:v>Birchfield</c:v>
                </c:pt>
                <c:pt idx="6">
                  <c:v>Fernglen</c:v>
                </c:pt>
                <c:pt idx="7">
                  <c:v>Pinehurst</c:v>
                </c:pt>
                <c:pt idx="8">
                  <c:v>Oakridge</c:v>
                </c:pt>
                <c:pt idx="9">
                  <c:v>Silverbrook</c:v>
                </c:pt>
                <c:pt idx="10">
                  <c:v>Hollowvale</c:v>
                </c:pt>
              </c:strCache>
            </c:strRef>
          </c:cat>
          <c:val>
            <c:numRef>
              <c:f>'Biodiversity Index'!$C$8:$C$18</c:f>
              <c:numCache>
                <c:formatCode>#,##0</c:formatCode>
                <c:ptCount val="11"/>
                <c:pt idx="1">
                  <c:v>18</c:v>
                </c:pt>
                <c:pt idx="2">
                  <c:v>14</c:v>
                </c:pt>
                <c:pt idx="3">
                  <c:v>22</c:v>
                </c:pt>
                <c:pt idx="4">
                  <c:v>16</c:v>
                </c:pt>
                <c:pt idx="5">
                  <c:v>19</c:v>
                </c:pt>
                <c:pt idx="6">
                  <c:v>12</c:v>
                </c:pt>
                <c:pt idx="7">
                  <c:v>17</c:v>
                </c:pt>
                <c:pt idx="8">
                  <c:v>20</c:v>
                </c:pt>
                <c:pt idx="9">
                  <c:v>15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D-D140-AD88-D62A030CC4A0}"/>
            </c:ext>
          </c:extLst>
        </c:ser>
        <c:ser>
          <c:idx val="1"/>
          <c:order val="1"/>
          <c:tx>
            <c:strRef>
              <c:f>'Biodiversity Index'!$D$7</c:f>
              <c:strCache>
                <c:ptCount val="1"/>
                <c:pt idx="0">
                  <c:v>Birds</c:v>
                </c:pt>
              </c:strCache>
            </c:strRef>
          </c:tx>
          <c:spPr>
            <a:ln w="28575" cap="rnd">
              <a:solidFill>
                <a:srgbClr val="2D6A4F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'Biodiversity Index'!$B$8:$B$18</c:f>
              <c:strCache>
                <c:ptCount val="11"/>
                <c:pt idx="1">
                  <c:v>Northridge</c:v>
                </c:pt>
                <c:pt idx="2">
                  <c:v>Willowbrook</c:v>
                </c:pt>
                <c:pt idx="3">
                  <c:v>Cedar Hollow</c:v>
                </c:pt>
                <c:pt idx="4">
                  <c:v>Mossvale</c:v>
                </c:pt>
                <c:pt idx="5">
                  <c:v>Birchfield</c:v>
                </c:pt>
                <c:pt idx="6">
                  <c:v>Fernglen</c:v>
                </c:pt>
                <c:pt idx="7">
                  <c:v>Pinehurst</c:v>
                </c:pt>
                <c:pt idx="8">
                  <c:v>Oakridge</c:v>
                </c:pt>
                <c:pt idx="9">
                  <c:v>Silverbrook</c:v>
                </c:pt>
                <c:pt idx="10">
                  <c:v>Hollowvale</c:v>
                </c:pt>
              </c:strCache>
            </c:strRef>
          </c:cat>
          <c:val>
            <c:numRef>
              <c:f>'Biodiversity Index'!$D$8:$D$18</c:f>
              <c:numCache>
                <c:formatCode>#,##0</c:formatCode>
                <c:ptCount val="11"/>
                <c:pt idx="1">
                  <c:v>47</c:v>
                </c:pt>
                <c:pt idx="2">
                  <c:v>52</c:v>
                </c:pt>
                <c:pt idx="3">
                  <c:v>61</c:v>
                </c:pt>
                <c:pt idx="4">
                  <c:v>44</c:v>
                </c:pt>
                <c:pt idx="5">
                  <c:v>49</c:v>
                </c:pt>
                <c:pt idx="6">
                  <c:v>38</c:v>
                </c:pt>
                <c:pt idx="7">
                  <c:v>45</c:v>
                </c:pt>
                <c:pt idx="8">
                  <c:v>53</c:v>
                </c:pt>
                <c:pt idx="9">
                  <c:v>56</c:v>
                </c:pt>
                <c:pt idx="1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D-D140-AD88-D62A030CC4A0}"/>
            </c:ext>
          </c:extLst>
        </c:ser>
        <c:ser>
          <c:idx val="2"/>
          <c:order val="2"/>
          <c:tx>
            <c:strRef>
              <c:f>'Biodiversity Index'!$E$7</c:f>
              <c:strCache>
                <c:ptCount val="1"/>
                <c:pt idx="0">
                  <c:v>Insects</c:v>
                </c:pt>
              </c:strCache>
            </c:strRef>
          </c:tx>
          <c:spPr>
            <a:ln w="28575" cap="rnd">
              <a:solidFill>
                <a:srgbClr val="95D5B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'Biodiversity Index'!$B$8:$B$18</c:f>
              <c:strCache>
                <c:ptCount val="11"/>
                <c:pt idx="1">
                  <c:v>Northridge</c:v>
                </c:pt>
                <c:pt idx="2">
                  <c:v>Willowbrook</c:v>
                </c:pt>
                <c:pt idx="3">
                  <c:v>Cedar Hollow</c:v>
                </c:pt>
                <c:pt idx="4">
                  <c:v>Mossvale</c:v>
                </c:pt>
                <c:pt idx="5">
                  <c:v>Birchfield</c:v>
                </c:pt>
                <c:pt idx="6">
                  <c:v>Fernglen</c:v>
                </c:pt>
                <c:pt idx="7">
                  <c:v>Pinehurst</c:v>
                </c:pt>
                <c:pt idx="8">
                  <c:v>Oakridge</c:v>
                </c:pt>
                <c:pt idx="9">
                  <c:v>Silverbrook</c:v>
                </c:pt>
                <c:pt idx="10">
                  <c:v>Hollowvale</c:v>
                </c:pt>
              </c:strCache>
            </c:strRef>
          </c:cat>
          <c:val>
            <c:numRef>
              <c:f>'Biodiversity Index'!$E$8:$E$18</c:f>
              <c:numCache>
                <c:formatCode>#,##0</c:formatCode>
                <c:ptCount val="11"/>
                <c:pt idx="1">
                  <c:v>142</c:v>
                </c:pt>
                <c:pt idx="2">
                  <c:v>168</c:v>
                </c:pt>
                <c:pt idx="3">
                  <c:v>195</c:v>
                </c:pt>
                <c:pt idx="4">
                  <c:v>128</c:v>
                </c:pt>
                <c:pt idx="5">
                  <c:v>151</c:v>
                </c:pt>
                <c:pt idx="6">
                  <c:v>175</c:v>
                </c:pt>
                <c:pt idx="7">
                  <c:v>132</c:v>
                </c:pt>
                <c:pt idx="8">
                  <c:v>147</c:v>
                </c:pt>
                <c:pt idx="9">
                  <c:v>182</c:v>
                </c:pt>
                <c:pt idx="10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2D-D140-AD88-D62A030CC4A0}"/>
            </c:ext>
          </c:extLst>
        </c:ser>
        <c:ser>
          <c:idx val="3"/>
          <c:order val="3"/>
          <c:tx>
            <c:strRef>
              <c:f>'Biodiversity Index'!$F$7</c:f>
              <c:strCache>
                <c:ptCount val="1"/>
                <c:pt idx="0">
                  <c:v>Plants</c:v>
                </c:pt>
              </c:strCache>
            </c:strRef>
          </c:tx>
          <c:spPr>
            <a:ln w="28575" cap="rnd">
              <a:solidFill>
                <a:srgbClr val="6B442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'Biodiversity Index'!$B$8:$B$18</c:f>
              <c:strCache>
                <c:ptCount val="11"/>
                <c:pt idx="1">
                  <c:v>Northridge</c:v>
                </c:pt>
                <c:pt idx="2">
                  <c:v>Willowbrook</c:v>
                </c:pt>
                <c:pt idx="3">
                  <c:v>Cedar Hollow</c:v>
                </c:pt>
                <c:pt idx="4">
                  <c:v>Mossvale</c:v>
                </c:pt>
                <c:pt idx="5">
                  <c:v>Birchfield</c:v>
                </c:pt>
                <c:pt idx="6">
                  <c:v>Fernglen</c:v>
                </c:pt>
                <c:pt idx="7">
                  <c:v>Pinehurst</c:v>
                </c:pt>
                <c:pt idx="8">
                  <c:v>Oakridge</c:v>
                </c:pt>
                <c:pt idx="9">
                  <c:v>Silverbrook</c:v>
                </c:pt>
                <c:pt idx="10">
                  <c:v>Hollowvale</c:v>
                </c:pt>
              </c:strCache>
            </c:strRef>
          </c:cat>
          <c:val>
            <c:numRef>
              <c:f>'Biodiversity Index'!$F$8:$F$18</c:f>
              <c:numCache>
                <c:formatCode>#,##0</c:formatCode>
                <c:ptCount val="11"/>
                <c:pt idx="1">
                  <c:v>310</c:v>
                </c:pt>
                <c:pt idx="2">
                  <c:v>285</c:v>
                </c:pt>
                <c:pt idx="3">
                  <c:v>420</c:v>
                </c:pt>
                <c:pt idx="4">
                  <c:v>295</c:v>
                </c:pt>
                <c:pt idx="5">
                  <c:v>340</c:v>
                </c:pt>
                <c:pt idx="6">
                  <c:v>270</c:v>
                </c:pt>
                <c:pt idx="7">
                  <c:v>305</c:v>
                </c:pt>
                <c:pt idx="8">
                  <c:v>360</c:v>
                </c:pt>
                <c:pt idx="9">
                  <c:v>320</c:v>
                </c:pt>
                <c:pt idx="1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2D-D140-AD88-D62A030CC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850304"/>
        <c:axId val="1731365056"/>
      </c:radarChart>
      <c:catAx>
        <c:axId val="173185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365056"/>
        <c:crosses val="autoZero"/>
        <c:auto val="1"/>
        <c:lblAlgn val="ctr"/>
        <c:lblOffset val="100"/>
        <c:noMultiLvlLbl val="0"/>
      </c:catAx>
      <c:valAx>
        <c:axId val="173136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85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DD0916D-CC54-7C1B-2A00-24AB19008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E99925A-9DEC-8B0E-46F6-234C5DB92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F945011-88D7-F588-2216-308BFDFB5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9C08295-6778-6267-24B3-8AF33F2AD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livia Bennett" id="{33333333-3333-4333-8333-333333333333}"/>
</xltc: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.xml><?xml version="1.0" encoding="utf-8"?>
<xltc:ThreadedComments xmlns:xltc="http://schemas.microsoft.com/office/spreadsheetml/2018/threadedcomments">
  <xltc:threadedComment ref="B18" dT="2026-08-25T13:00:00Z" personId="{33333333-3333-4333-8333-333333333333}" id="{11111111-1111-4111-8111-111111111111}">
    <xltc:text>Confirm this regional summary before publishing.</xltc:text>
  </xltc:threadedComment>
  <xltc:threadedComment ref="B18" dT="2026-08-25T13:01:00Z" personId="{33333333-3333-4333-8333-333333333333}" id="{22222222-2222-4222-8222-222222222222}" parentId="{11111111-1111-4111-8111-111111111111}">
    <xltc:text>Verified against the source inventory.</xltc:text>
  </xltc:threadedComment>
</xltc: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CCC604-BF8C-1E47-94DE-793D8D29BA0A}">
  <we:reference id="wa200009404" version="1.0.0.8" store="ja-JP" storeType="OMEX"/>
  <we:alternateReferences>
    <we:reference id="WA200009404" version="1.0.0.8" store="" storeType="OMEX"/>
  </we:alternateReferences>
  <we:properties>
    <we:property name="claude.fileId" value="&quot;6469ad97-71f9-4f7a-abdd-11f40d13de0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<Relationships xmlns="http://schemas.openxmlformats.org/package/2006/relationships"><Relationship Id="rIdComment" Type="http://schemas.openxmlformats.org/officeDocument/2006/relationships/comments" Target="../comments1.xml"/><Relationship Id="rIdCommentVml" Type="http://schemas.openxmlformats.org/officeDocument/2006/relationships/vmlDrawing" Target="../drawings/vmldrawing.vml"/><Relationship Id="rIdThread" Type="http://schemas.microsoft.com/office/2017/10/relationships/threadedComment" Target="../threadedcomments/threadedcomment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9C96-9DB7-F743-B957-3F45876F0D9A}">
  <dimension ref="B1:I32"/>
  <sheetViews>
    <sheetView showGridLines="0" tabSelected="1" workbookViewId="0"/>
  </sheetViews>
  <sheetFormatPr defaultColWidth="11.5546875" defaultRowHeight="20.100000000000001"/>
  <cols>
    <col min="1" max="1" width="2" customWidth="1"/>
    <col min="2" max="3" width="21.44140625" customWidth="1"/>
    <col min="4" max="4" width="2.88671875" customWidth="1"/>
    <col min="5" max="6" width="21.44140625" customWidth="1"/>
    <col min="7" max="7" width="2.88671875" customWidth="1"/>
    <col min="8" max="9" width="21.44140625" customWidth="1"/>
    <col min="10" max="10" width="2" customWidth="1"/>
  </cols>
  <sheetData>
    <row r="1" spans="2:9" ht="15.95" customHeight="1">
      <c r="B1" s="55"/>
      <c r="C1" s="55"/>
      <c r="D1" s="55"/>
      <c r="E1" s="55"/>
      <c r="F1" s="55"/>
      <c r="G1" s="55"/>
      <c r="H1" s="55"/>
      <c r="I1" s="55"/>
    </row>
    <row r="2" spans="2:9" ht="42" customHeight="1">
      <c r="B2" s="69" t="s">
        <v>0</v>
      </c>
      <c r="C2" s="73"/>
      <c r="D2" s="73"/>
      <c r="E2" s="73"/>
      <c r="F2" s="73"/>
      <c r="G2" s="73"/>
      <c r="H2" s="73"/>
      <c r="I2" s="73"/>
    </row>
    <row r="3" spans="2:9" ht="21.95" customHeight="1">
      <c r="B3" s="70" t="s">
        <v>1</v>
      </c>
      <c r="C3" s="73"/>
      <c r="D3" s="73"/>
      <c r="E3" s="73"/>
      <c r="F3" s="73"/>
      <c r="G3" s="73"/>
      <c r="H3" s="73"/>
      <c r="I3" s="73"/>
    </row>
    <row r="4" spans="2:9" ht="9.9499999999999993" customHeight="1">
      <c r="B4" s="55"/>
      <c r="C4" s="55"/>
      <c r="D4" s="55"/>
      <c r="E4" s="55"/>
      <c r="F4" s="55"/>
      <c r="G4" s="55"/>
      <c r="H4" s="55"/>
      <c r="I4" s="55"/>
    </row>
    <row r="5" spans="2:9" ht="63.95" customHeight="1">
      <c r="B5" s="71" t="s">
        <v>2</v>
      </c>
      <c r="C5" s="73"/>
      <c r="D5" s="73"/>
      <c r="E5" s="73"/>
      <c r="F5" s="73"/>
      <c r="G5" s="73"/>
      <c r="H5" s="73"/>
      <c r="I5" s="73"/>
    </row>
    <row r="6" spans="2:9" ht="12" customHeight="1">
      <c r="B6" s="55"/>
      <c r="C6" s="55"/>
      <c r="D6" s="55"/>
      <c r="E6" s="55"/>
      <c r="F6" s="55"/>
      <c r="G6" s="55"/>
      <c r="H6" s="55"/>
      <c r="I6" s="55"/>
    </row>
    <row r="7" spans="2:9" ht="21.95" customHeight="1">
      <c r="B7" s="66" t="s">
        <v>3</v>
      </c>
      <c r="C7" s="74"/>
      <c r="D7" s="55"/>
      <c r="E7" s="66" t="s">
        <v>4</v>
      </c>
      <c r="F7" s="74"/>
      <c r="G7" s="55"/>
      <c r="H7" s="66" t="s">
        <v>5</v>
      </c>
      <c r="I7" s="74"/>
    </row>
    <row r="8" spans="2:9" ht="33.950000000000003" customHeight="1">
      <c r="B8" s="72">
        <f>'Forest Inventory'!I5</f>
        <v>702.59999999999991</v>
      </c>
      <c r="C8" s="74"/>
      <c r="D8" s="55"/>
      <c r="E8" s="65">
        <f>'Forest Inventory'!F30</f>
        <v>48790</v>
      </c>
      <c r="F8" s="74"/>
      <c r="G8" s="55"/>
      <c r="H8" s="65">
        <f>'Carbon &amp; Growth'!C18</f>
        <v>27680</v>
      </c>
      <c r="I8" s="74"/>
    </row>
    <row r="9" spans="2:9" ht="21.95" customHeight="1">
      <c r="B9" s="61" t="s">
        <v>6</v>
      </c>
      <c r="C9" s="74"/>
      <c r="D9" s="55"/>
      <c r="E9" s="61" t="s">
        <v>7</v>
      </c>
      <c r="F9" s="74"/>
      <c r="G9" s="55"/>
      <c r="H9" s="61" t="s">
        <v>8</v>
      </c>
      <c r="I9" s="74"/>
    </row>
    <row r="10" spans="2:9" ht="15.95" customHeight="1">
      <c r="B10" s="55"/>
      <c r="C10" s="55"/>
      <c r="D10" s="55"/>
      <c r="E10" s="55"/>
      <c r="F10" s="55"/>
      <c r="G10" s="55"/>
      <c r="H10" s="55"/>
      <c r="I10" s="55"/>
    </row>
    <row r="11" spans="2:9" ht="21.95" customHeight="1">
      <c r="B11" s="66" t="s">
        <v>9</v>
      </c>
      <c r="C11" s="74"/>
      <c r="D11" s="55"/>
      <c r="E11" s="66" t="s">
        <v>10</v>
      </c>
      <c r="F11" s="74"/>
      <c r="G11" s="55"/>
      <c r="H11" s="66" t="s">
        <v>11</v>
      </c>
      <c r="I11" s="74"/>
    </row>
    <row r="12" spans="2:9" ht="33.950000000000003" customHeight="1">
      <c r="B12" s="67">
        <f>COUNTA('Species Analysis'!B9:B23)</f>
        <v>15</v>
      </c>
      <c r="C12" s="74"/>
      <c r="D12" s="55"/>
      <c r="E12" s="68">
        <f>AVERAGE('Forest Inventory'!J9:J28)</f>
        <v>82.3</v>
      </c>
      <c r="F12" s="74"/>
      <c r="G12" s="55"/>
      <c r="H12" s="68">
        <f>AVERAGE('Biodiversity Index'!H9:H18)</f>
        <v>77</v>
      </c>
      <c r="I12" s="74"/>
    </row>
    <row r="13" spans="2:9" ht="21.95" customHeight="1">
      <c r="B13" s="61" t="s">
        <v>12</v>
      </c>
      <c r="C13" s="74"/>
      <c r="D13" s="55"/>
      <c r="E13" s="61" t="s">
        <v>13</v>
      </c>
      <c r="F13" s="74"/>
      <c r="G13" s="55"/>
      <c r="H13" s="61" t="s">
        <v>14</v>
      </c>
      <c r="I13" s="74"/>
    </row>
    <row r="14" spans="2:9" ht="15.95" customHeight="1">
      <c r="B14" s="55"/>
      <c r="C14" s="55"/>
      <c r="D14" s="55"/>
      <c r="E14" s="55"/>
      <c r="F14" s="55"/>
      <c r="G14" s="55"/>
      <c r="H14" s="55"/>
      <c r="I14" s="55"/>
    </row>
    <row r="15" spans="2:9" ht="30" customHeight="1">
      <c r="B15" s="62" t="s">
        <v>15</v>
      </c>
      <c r="C15" s="75"/>
      <c r="D15" s="75"/>
      <c r="E15" s="75"/>
      <c r="F15" s="75"/>
      <c r="G15" s="75"/>
      <c r="H15" s="75"/>
      <c r="I15" s="75"/>
    </row>
    <row r="17" spans="2:9" ht="27.95" customHeight="1">
      <c r="B17" s="56" t="s">
        <v>16</v>
      </c>
      <c r="C17" s="7" t="s">
        <v>17</v>
      </c>
      <c r="D17" s="7" t="s">
        <v>18</v>
      </c>
      <c r="E17" s="7" t="s">
        <v>19</v>
      </c>
      <c r="F17" s="7" t="s">
        <v>20</v>
      </c>
      <c r="G17" s="7" t="s">
        <v>21</v>
      </c>
      <c r="H17" s="7" t="s">
        <v>22</v>
      </c>
      <c r="I17" s="55"/>
    </row>
    <row r="18" spans="2:9" ht="21.95" customHeight="1">
      <c r="B18" s="57" t="s">
        <v>23</v>
      </c>
      <c r="C18" s="35">
        <f>COUNTIF('Forest Inventory'!C9:C28,B18)</f>
        <v>2</v>
      </c>
      <c r="D18" s="10">
        <f>SUMIF('Forest Inventory'!C9:C28,B18,'Forest Inventory'!E9:E28)</f>
        <v>80.599999999999994</v>
      </c>
      <c r="E18" s="11">
        <f>SUMIF('Forest Inventory'!C9:C28,B18,'Forest Inventory'!F9:F28)</f>
        <v>5900</v>
      </c>
      <c r="F18" s="11">
        <f>SUMIF('Forest Inventory'!C9:C28,B18,'Forest Inventory'!I9:I28)</f>
        <v>3365</v>
      </c>
      <c r="G18" s="59">
        <f>AVERAGEIF('Forest Inventory'!C9:C28,B18,'Forest Inventory'!J9:J28)</f>
        <v>86</v>
      </c>
      <c r="H18" s="59">
        <f>IFERROR(VLOOKUP(B18,'Biodiversity Index'!B9:H18,7,FALSE),"—")</f>
        <v>74</v>
      </c>
      <c r="I18" s="55"/>
    </row>
    <row r="19" spans="2:9" ht="21.95" customHeight="1">
      <c r="B19" s="58" t="s">
        <v>24</v>
      </c>
      <c r="C19" s="37">
        <f>COUNTIF('Forest Inventory'!C9:C28,B19)</f>
        <v>2</v>
      </c>
      <c r="D19" s="16">
        <f>SUMIF('Forest Inventory'!C9:C28,B19,'Forest Inventory'!E9:E28)</f>
        <v>43.1</v>
      </c>
      <c r="E19" s="17">
        <f>SUMIF('Forest Inventory'!C9:C28,B19,'Forest Inventory'!F9:F28)</f>
        <v>3260</v>
      </c>
      <c r="F19" s="17">
        <f>SUMIF('Forest Inventory'!C9:C28,B19,'Forest Inventory'!I9:I28)</f>
        <v>1492</v>
      </c>
      <c r="G19" s="60">
        <f>AVERAGEIF('Forest Inventory'!C9:C28,B19,'Forest Inventory'!J9:J28)</f>
        <v>80.5</v>
      </c>
      <c r="H19" s="60">
        <f>IFERROR(VLOOKUP(B19,'Biodiversity Index'!B9:H18,7,FALSE),"—")</f>
        <v>85</v>
      </c>
      <c r="I19" s="55"/>
    </row>
    <row r="20" spans="2:9" ht="21.95" customHeight="1">
      <c r="B20" s="57" t="s">
        <v>25</v>
      </c>
      <c r="C20" s="35">
        <f>COUNTIF('Forest Inventory'!C9:C28,B20)</f>
        <v>2</v>
      </c>
      <c r="D20" s="10">
        <f>SUMIF('Forest Inventory'!C9:C28,B20,'Forest Inventory'!E9:E28)</f>
        <v>103.9</v>
      </c>
      <c r="E20" s="11">
        <f>SUMIF('Forest Inventory'!C9:C28,B20,'Forest Inventory'!F9:F28)</f>
        <v>5590</v>
      </c>
      <c r="F20" s="11">
        <f>SUMIF('Forest Inventory'!C9:C28,B20,'Forest Inventory'!I9:I28)</f>
        <v>6050</v>
      </c>
      <c r="G20" s="59">
        <f>AVERAGEIF('Forest Inventory'!C9:C28,B20,'Forest Inventory'!J9:J28)</f>
        <v>93</v>
      </c>
      <c r="H20" s="59">
        <f>IFERROR(VLOOKUP(B20,'Biodiversity Index'!B9:H18,7,FALSE),"—")</f>
        <v>100</v>
      </c>
      <c r="I20" s="55"/>
    </row>
    <row r="21" spans="2:9" ht="21.95" customHeight="1">
      <c r="B21" s="58" t="s">
        <v>26</v>
      </c>
      <c r="C21" s="37">
        <f>COUNTIF('Forest Inventory'!C9:C28,B21)</f>
        <v>2</v>
      </c>
      <c r="D21" s="16">
        <f>SUMIF('Forest Inventory'!C9:C28,B21,'Forest Inventory'!E9:E28)</f>
        <v>63</v>
      </c>
      <c r="E21" s="17">
        <f>SUMIF('Forest Inventory'!C9:C28,B21,'Forest Inventory'!F9:F28)</f>
        <v>4620</v>
      </c>
      <c r="F21" s="17">
        <f>SUMIF('Forest Inventory'!C9:C28,B21,'Forest Inventory'!I9:I28)</f>
        <v>2385</v>
      </c>
      <c r="G21" s="60">
        <f>AVERAGEIF('Forest Inventory'!C9:C28,B21,'Forest Inventory'!J9:J28)</f>
        <v>79</v>
      </c>
      <c r="H21" s="60">
        <f>IFERROR(VLOOKUP(B21,'Biodiversity Index'!B9:H18,7,FALSE),"—")</f>
        <v>65</v>
      </c>
      <c r="I21" s="55"/>
    </row>
    <row r="22" spans="2:9" ht="21.95" customHeight="1">
      <c r="B22" s="57" t="s">
        <v>27</v>
      </c>
      <c r="C22" s="35">
        <f>COUNTIF('Forest Inventory'!C9:C28,B22)</f>
        <v>2</v>
      </c>
      <c r="D22" s="10">
        <f>SUMIF('Forest Inventory'!C9:C28,B22,'Forest Inventory'!E9:E28)</f>
        <v>78</v>
      </c>
      <c r="E22" s="11">
        <f>SUMIF('Forest Inventory'!C9:C28,B22,'Forest Inventory'!F9:F28)</f>
        <v>5700</v>
      </c>
      <c r="F22" s="11">
        <f>SUMIF('Forest Inventory'!C9:C28,B22,'Forest Inventory'!I9:I28)</f>
        <v>2790</v>
      </c>
      <c r="G22" s="59">
        <f>AVERAGEIF('Forest Inventory'!C9:C28,B22,'Forest Inventory'!J9:J28)</f>
        <v>79</v>
      </c>
      <c r="H22" s="59">
        <f>IFERROR(VLOOKUP(B22,'Biodiversity Index'!B9:H18,7,FALSE),"—")</f>
        <v>77</v>
      </c>
      <c r="I22" s="55"/>
    </row>
    <row r="23" spans="2:9" ht="21.95" customHeight="1">
      <c r="B23" s="58" t="s">
        <v>28</v>
      </c>
      <c r="C23" s="37">
        <f>COUNTIF('Forest Inventory'!C9:C28,B23)</f>
        <v>2</v>
      </c>
      <c r="D23" s="16">
        <f>SUMIF('Forest Inventory'!C9:C28,B23,'Forest Inventory'!E9:E28)</f>
        <v>37</v>
      </c>
      <c r="E23" s="17">
        <f>SUMIF('Forest Inventory'!C9:C28,B23,'Forest Inventory'!F9:F28)</f>
        <v>2800</v>
      </c>
      <c r="F23" s="17">
        <f>SUMIF('Forest Inventory'!C9:C28,B23,'Forest Inventory'!I9:I28)</f>
        <v>1215</v>
      </c>
      <c r="G23" s="60">
        <f>AVERAGEIF('Forest Inventory'!C9:C28,B23,'Forest Inventory'!J9:J28)</f>
        <v>76.5</v>
      </c>
      <c r="H23" s="60">
        <f>IFERROR(VLOOKUP(B23,'Biodiversity Index'!B9:H18,7,FALSE),"—")</f>
        <v>69</v>
      </c>
      <c r="I23" s="55"/>
    </row>
    <row r="24" spans="2:9" ht="21.95" customHeight="1">
      <c r="B24" s="57" t="s">
        <v>29</v>
      </c>
      <c r="C24" s="35">
        <f>COUNTIF('Forest Inventory'!C9:C28,B24)</f>
        <v>2</v>
      </c>
      <c r="D24" s="10">
        <f>SUMIF('Forest Inventory'!C9:C28,B24,'Forest Inventory'!E9:E28)</f>
        <v>98.3</v>
      </c>
      <c r="E24" s="11">
        <f>SUMIF('Forest Inventory'!C9:C28,B24,'Forest Inventory'!F9:F28)</f>
        <v>7200</v>
      </c>
      <c r="F24" s="11">
        <f>SUMIF('Forest Inventory'!C9:C28,B24,'Forest Inventory'!I9:I28)</f>
        <v>4090</v>
      </c>
      <c r="G24" s="59">
        <f>AVERAGEIF('Forest Inventory'!C9:C28,B24,'Forest Inventory'!J9:J28)</f>
        <v>87.5</v>
      </c>
      <c r="H24" s="59">
        <f>IFERROR(VLOOKUP(B24,'Biodiversity Index'!B9:H18,7,FALSE),"—")</f>
        <v>71</v>
      </c>
      <c r="I24" s="55"/>
    </row>
    <row r="25" spans="2:9" ht="21.95" customHeight="1">
      <c r="B25" s="58" t="s">
        <v>30</v>
      </c>
      <c r="C25" s="37">
        <f>COUNTIF('Forest Inventory'!C9:C28,B25)</f>
        <v>2</v>
      </c>
      <c r="D25" s="16">
        <f>SUMIF('Forest Inventory'!C9:C28,B25,'Forest Inventory'!E9:E28)</f>
        <v>72.2</v>
      </c>
      <c r="E25" s="17">
        <f>SUMIF('Forest Inventory'!C9:C28,B25,'Forest Inventory'!F9:F28)</f>
        <v>5270</v>
      </c>
      <c r="F25" s="17">
        <f>SUMIF('Forest Inventory'!C9:C28,B25,'Forest Inventory'!I9:I28)</f>
        <v>2665</v>
      </c>
      <c r="G25" s="60">
        <f>AVERAGEIF('Forest Inventory'!C9:C28,B25,'Forest Inventory'!J9:J28)</f>
        <v>81.5</v>
      </c>
      <c r="H25" s="60">
        <f>IFERROR(VLOOKUP(B25,'Biodiversity Index'!B9:H18,7,FALSE),"—")</f>
        <v>82</v>
      </c>
      <c r="I25" s="55"/>
    </row>
    <row r="26" spans="2:9" ht="21.95" customHeight="1">
      <c r="B26" s="57" t="s">
        <v>31</v>
      </c>
      <c r="C26" s="35">
        <f>COUNTIF('Forest Inventory'!C9:C28,B26)</f>
        <v>2</v>
      </c>
      <c r="D26" s="10">
        <f>SUMIF('Forest Inventory'!C9:C28,B26,'Forest Inventory'!E9:E28)</f>
        <v>63.1</v>
      </c>
      <c r="E26" s="11">
        <f>SUMIF('Forest Inventory'!C9:C28,B26,'Forest Inventory'!F9:F28)</f>
        <v>3840</v>
      </c>
      <c r="F26" s="11">
        <f>SUMIF('Forest Inventory'!C9:C28,B26,'Forest Inventory'!I9:I28)</f>
        <v>3130</v>
      </c>
      <c r="G26" s="59">
        <f>AVERAGEIF('Forest Inventory'!C9:C28,B26,'Forest Inventory'!J9:J28)</f>
        <v>82.5</v>
      </c>
      <c r="H26" s="59">
        <f>IFERROR(VLOOKUP(B26,'Biodiversity Index'!B9:H18,7,FALSE),"—")</f>
        <v>87</v>
      </c>
      <c r="I26" s="55"/>
    </row>
    <row r="27" spans="2:9" ht="21.95" customHeight="1">
      <c r="B27" s="58" t="s">
        <v>32</v>
      </c>
      <c r="C27" s="37">
        <f>COUNTIF('Forest Inventory'!C9:C28,B27)</f>
        <v>2</v>
      </c>
      <c r="D27" s="16">
        <f>SUMIF('Forest Inventory'!C9:C28,B27,'Forest Inventory'!E9:E28)</f>
        <v>63.400000000000006</v>
      </c>
      <c r="E27" s="17">
        <f>SUMIF('Forest Inventory'!C9:C28,B27,'Forest Inventory'!F9:F28)</f>
        <v>4610</v>
      </c>
      <c r="F27" s="17">
        <f>SUMIF('Forest Inventory'!C9:C28,B27,'Forest Inventory'!I9:I28)</f>
        <v>2305</v>
      </c>
      <c r="G27" s="60">
        <f>AVERAGEIF('Forest Inventory'!C9:C28,B27,'Forest Inventory'!J9:J28)</f>
        <v>77.5</v>
      </c>
      <c r="H27" s="60">
        <f>IFERROR(VLOOKUP(B27,'Biodiversity Index'!B9:H18,7,FALSE),"—")</f>
        <v>60</v>
      </c>
      <c r="I27" s="55"/>
    </row>
    <row r="29" spans="2:9" ht="15.95" customHeight="1">
      <c r="B29" s="55"/>
      <c r="C29" s="55"/>
      <c r="D29" s="55"/>
      <c r="E29" s="55"/>
      <c r="F29" s="55"/>
      <c r="G29" s="55"/>
      <c r="H29" s="55"/>
      <c r="I29" s="55"/>
    </row>
    <row r="30" spans="2:9" ht="24" customHeight="1">
      <c r="B30" s="63" t="s">
        <v>33</v>
      </c>
      <c r="C30" s="76"/>
      <c r="D30" s="76"/>
      <c r="E30" s="76"/>
      <c r="F30" s="76"/>
      <c r="G30" s="76"/>
      <c r="H30" s="76"/>
      <c r="I30" s="76"/>
    </row>
    <row r="32" spans="2:9" ht="20.100000000000001" customHeight="1">
      <c r="B32" s="64" t="s">
        <v>34</v>
      </c>
      <c r="C32" s="73"/>
      <c r="D32" s="73"/>
      <c r="E32" s="73"/>
      <c r="F32" s="73"/>
      <c r="G32" s="73"/>
      <c r="H32" s="73"/>
      <c r="I32" s="73"/>
    </row>
  </sheetData>
  <mergeCells count="24">
    <mergeCell ref="B2:I2"/>
    <mergeCell ref="B3:I3"/>
    <mergeCell ref="B5:I5"/>
    <mergeCell ref="B7:C7"/>
    <mergeCell ref="B8:C8"/>
    <mergeCell ref="E7:F7"/>
    <mergeCell ref="E8:F8"/>
    <mergeCell ref="H7:I7"/>
    <mergeCell ref="H13:I13"/>
    <mergeCell ref="B15:I15"/>
    <mergeCell ref="B30:I30"/>
    <mergeCell ref="B32:I32"/>
    <mergeCell ref="H8:I8"/>
    <mergeCell ref="H9:I9"/>
    <mergeCell ref="B11:C11"/>
    <mergeCell ref="B12:C12"/>
    <mergeCell ref="B13:C13"/>
    <mergeCell ref="E11:F11"/>
    <mergeCell ref="E12:F12"/>
    <mergeCell ref="E13:F13"/>
    <mergeCell ref="H11:I11"/>
    <mergeCell ref="H12:I12"/>
    <mergeCell ref="B9:C9"/>
    <mergeCell ref="E9:F9"/>
  </mergeCells>
  <phoneticPr fontId="1"/>
  <conditionalFormatting sqref="F18:F27">
    <cfRule type="dataBar" priority="1">
      <dataBar>
        <cfvo type="min"/>
        <cfvo type="max"/>
        <color rgb="FF95D5B2"/>
      </dataBar>
      <legacyDrawing r:id="rIdCommentVml"/>
      <extLst>
        <ext xmlns:x14="http://schemas.microsoft.com/office/spreadsheetml/2009/9/main" uri="{B025F937-C7B1-47D3-B67F-A62EFF666E3E}">
          <x14:id>{190A5F63-8D89-A941-BDCE-58ACFB08F9A9}</x14:id>
        </ext>
      </extLst>
    </cfRule>
  </conditionalFormatting>
  <conditionalFormatting sqref="G18:G27">
    <cfRule type="colorScale" priority="2">
      <colorScale>
        <cfvo type="min"/>
        <cfvo type="percentile" val="50"/>
        <cfvo type="max"/>
        <color rgb="FFFFE8B3"/>
        <color rgb="FF95D5B2"/>
        <color rgb="FF1B4332"/>
      </colorScale>
    </cfRule>
  </conditionalFormatting>
  <conditionalFormatting sqref="H18:H27">
    <cfRule type="colorScale" priority="3">
      <colorScale>
        <cfvo type="min"/>
        <cfvo type="percentile" val="50"/>
        <cfvo type="max"/>
        <color rgb="FFFFE8B3"/>
        <color rgb="FF95D5B2"/>
        <color rgb="FF1B4332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0A5F63-8D89-A941-BDCE-58ACFB08F9A9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F18:F27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C652-6A60-7243-AD6F-D69BE213057A}">
  <dimension ref="B2:K32"/>
  <sheetViews>
    <sheetView showGridLines="0" workbookViewId="0"/>
  </sheetViews>
  <sheetFormatPr defaultColWidth="11.5546875" defaultRowHeight="20.100000000000001"/>
  <cols>
    <col min="1" max="1" width="2.88671875" customWidth="1"/>
    <col min="2" max="2" width="15.6640625" customWidth="1"/>
    <col min="3" max="3" width="18.5546875" customWidth="1"/>
    <col min="4" max="5" width="12.88671875" customWidth="1"/>
    <col min="6" max="6" width="15.6640625" customWidth="1"/>
    <col min="7" max="7" width="14.33203125" customWidth="1"/>
    <col min="8" max="8" width="15.6640625" customWidth="1"/>
    <col min="9" max="9" width="14.33203125" customWidth="1"/>
    <col min="10" max="10" width="15.6640625" customWidth="1"/>
    <col min="11" max="11" width="17.109375" customWidth="1"/>
  </cols>
  <sheetData>
    <row r="2" spans="2:11" ht="36.950000000000003">
      <c r="B2" s="1" t="s">
        <v>35</v>
      </c>
      <c r="C2" s="55"/>
      <c r="D2" s="55"/>
      <c r="E2" s="55"/>
      <c r="F2" s="55"/>
      <c r="G2" s="55"/>
      <c r="H2" s="55"/>
      <c r="I2" s="55"/>
      <c r="J2" s="55"/>
      <c r="K2" s="55"/>
    </row>
    <row r="3" spans="2:11">
      <c r="B3" s="2" t="s">
        <v>36</v>
      </c>
      <c r="C3" s="55"/>
      <c r="D3" s="55"/>
      <c r="E3" s="55"/>
      <c r="F3" s="55"/>
      <c r="G3" s="55"/>
      <c r="H3" s="55"/>
      <c r="I3" s="55"/>
      <c r="J3" s="55"/>
      <c r="K3" s="55"/>
    </row>
    <row r="5" spans="2:11">
      <c r="B5" s="3" t="s">
        <v>37</v>
      </c>
      <c r="C5" s="4" t="s">
        <v>38</v>
      </c>
      <c r="D5" s="55"/>
      <c r="E5" s="3" t="s">
        <v>39</v>
      </c>
      <c r="F5" s="4">
        <f>COUNTA(B9:B28)</f>
        <v>20</v>
      </c>
      <c r="G5" s="55"/>
      <c r="H5" s="3" t="s">
        <v>40</v>
      </c>
      <c r="I5" s="5">
        <f>SUM(E9:E28)</f>
        <v>702.59999999999991</v>
      </c>
      <c r="J5" s="55"/>
      <c r="K5" s="55"/>
    </row>
    <row r="7" spans="2:11" ht="21" thickBot="1">
      <c r="B7" s="21" t="s">
        <v>41</v>
      </c>
      <c r="C7" s="21" t="s">
        <v>16</v>
      </c>
      <c r="D7" s="21" t="s">
        <v>42</v>
      </c>
      <c r="E7" s="22" t="s">
        <v>18</v>
      </c>
      <c r="F7" s="22" t="s">
        <v>43</v>
      </c>
      <c r="G7" s="22" t="s">
        <v>44</v>
      </c>
      <c r="H7" s="22" t="s">
        <v>45</v>
      </c>
      <c r="I7" s="22" t="s">
        <v>20</v>
      </c>
      <c r="J7" s="23" t="s">
        <v>46</v>
      </c>
      <c r="K7" s="22" t="s">
        <v>47</v>
      </c>
    </row>
    <row r="9" spans="2:11" ht="21.95" customHeight="1">
      <c r="B9" s="24" t="s">
        <v>48</v>
      </c>
      <c r="C9" s="9" t="s">
        <v>23</v>
      </c>
      <c r="D9" s="9" t="s">
        <v>49</v>
      </c>
      <c r="E9" s="10">
        <v>42.5</v>
      </c>
      <c r="F9" s="11">
        <v>3120</v>
      </c>
      <c r="G9" s="12">
        <v>38.200000000000003</v>
      </c>
      <c r="H9" s="13">
        <v>0.82</v>
      </c>
      <c r="I9" s="11">
        <v>1845</v>
      </c>
      <c r="J9" s="14">
        <v>88</v>
      </c>
      <c r="K9" s="11">
        <f>F9/E9</f>
        <v>73.411764705882348</v>
      </c>
    </row>
    <row r="10" spans="2:11" ht="21.95" customHeight="1">
      <c r="B10" s="25" t="s">
        <v>50</v>
      </c>
      <c r="C10" s="15" t="s">
        <v>23</v>
      </c>
      <c r="D10" s="15" t="s">
        <v>51</v>
      </c>
      <c r="E10" s="16">
        <v>38.1</v>
      </c>
      <c r="F10" s="17">
        <v>2780</v>
      </c>
      <c r="G10" s="18">
        <v>34.700000000000003</v>
      </c>
      <c r="H10" s="19">
        <v>0.78</v>
      </c>
      <c r="I10" s="17">
        <v>1520</v>
      </c>
      <c r="J10" s="20">
        <v>84</v>
      </c>
      <c r="K10" s="17">
        <f>F10/E10</f>
        <v>72.965879265091857</v>
      </c>
    </row>
    <row r="11" spans="2:11" ht="21.95" customHeight="1">
      <c r="B11" s="24" t="s">
        <v>52</v>
      </c>
      <c r="C11" s="9" t="s">
        <v>24</v>
      </c>
      <c r="D11" s="9" t="s">
        <v>53</v>
      </c>
      <c r="E11" s="10">
        <v>15.3</v>
      </c>
      <c r="F11" s="11">
        <v>1210</v>
      </c>
      <c r="G11" s="12">
        <v>28.4</v>
      </c>
      <c r="H11" s="13">
        <v>0.71</v>
      </c>
      <c r="I11" s="11">
        <v>512</v>
      </c>
      <c r="J11" s="14">
        <v>79</v>
      </c>
      <c r="K11" s="11">
        <f>F11/E11</f>
        <v>79.084967320261441</v>
      </c>
    </row>
    <row r="12" spans="2:11" ht="21.95" customHeight="1">
      <c r="B12" s="25" t="s">
        <v>54</v>
      </c>
      <c r="C12" s="15" t="s">
        <v>24</v>
      </c>
      <c r="D12" s="15" t="s">
        <v>51</v>
      </c>
      <c r="E12" s="16">
        <v>27.8</v>
      </c>
      <c r="F12" s="17">
        <v>2050</v>
      </c>
      <c r="G12" s="18">
        <v>32.1</v>
      </c>
      <c r="H12" s="19">
        <v>0.76</v>
      </c>
      <c r="I12" s="17">
        <v>980</v>
      </c>
      <c r="J12" s="20">
        <v>82</v>
      </c>
      <c r="K12" s="17">
        <f>F12/E12</f>
        <v>73.741007194244602</v>
      </c>
    </row>
    <row r="13" spans="2:11" ht="21.95" customHeight="1">
      <c r="B13" s="24" t="s">
        <v>55</v>
      </c>
      <c r="C13" s="9" t="s">
        <v>25</v>
      </c>
      <c r="D13" s="9" t="s">
        <v>56</v>
      </c>
      <c r="E13" s="10">
        <v>55.2</v>
      </c>
      <c r="F13" s="11">
        <v>2980</v>
      </c>
      <c r="G13" s="12">
        <v>54.6</v>
      </c>
      <c r="H13" s="13">
        <v>0.91</v>
      </c>
      <c r="I13" s="11">
        <v>3210</v>
      </c>
      <c r="J13" s="14">
        <v>94</v>
      </c>
      <c r="K13" s="11">
        <f>F13/E13</f>
        <v>53.985507246376805</v>
      </c>
    </row>
    <row r="14" spans="2:11" ht="21.95" customHeight="1">
      <c r="B14" s="25" t="s">
        <v>57</v>
      </c>
      <c r="C14" s="15" t="s">
        <v>25</v>
      </c>
      <c r="D14" s="15" t="s">
        <v>56</v>
      </c>
      <c r="E14" s="16">
        <v>48.7</v>
      </c>
      <c r="F14" s="17">
        <v>2610</v>
      </c>
      <c r="G14" s="18">
        <v>51.3</v>
      </c>
      <c r="H14" s="19">
        <v>0.89</v>
      </c>
      <c r="I14" s="17">
        <v>2840</v>
      </c>
      <c r="J14" s="20">
        <v>92</v>
      </c>
      <c r="K14" s="17">
        <f>F14/E14</f>
        <v>53.593429158110879</v>
      </c>
    </row>
    <row r="15" spans="2:11" ht="21.95" customHeight="1">
      <c r="B15" s="24" t="s">
        <v>58</v>
      </c>
      <c r="C15" s="9" t="s">
        <v>26</v>
      </c>
      <c r="D15" s="9" t="s">
        <v>59</v>
      </c>
      <c r="E15" s="10">
        <v>33.4</v>
      </c>
      <c r="F15" s="11">
        <v>2440</v>
      </c>
      <c r="G15" s="12">
        <v>36.799999999999997</v>
      </c>
      <c r="H15" s="13">
        <v>0.74</v>
      </c>
      <c r="I15" s="11">
        <v>1280</v>
      </c>
      <c r="J15" s="14">
        <v>81</v>
      </c>
      <c r="K15" s="11">
        <f>F15/E15</f>
        <v>73.053892215568865</v>
      </c>
    </row>
    <row r="16" spans="2:11" ht="21.95" customHeight="1">
      <c r="B16" s="25" t="s">
        <v>60</v>
      </c>
      <c r="C16" s="15" t="s">
        <v>26</v>
      </c>
      <c r="D16" s="15" t="s">
        <v>59</v>
      </c>
      <c r="E16" s="16">
        <v>29.6</v>
      </c>
      <c r="F16" s="17">
        <v>2180</v>
      </c>
      <c r="G16" s="18">
        <v>35.200000000000003</v>
      </c>
      <c r="H16" s="19">
        <v>0.72</v>
      </c>
      <c r="I16" s="17">
        <v>1105</v>
      </c>
      <c r="J16" s="20">
        <v>77</v>
      </c>
      <c r="K16" s="17">
        <f>F16/E16</f>
        <v>73.648648648648646</v>
      </c>
    </row>
    <row r="17" spans="2:11" ht="21.95" customHeight="1">
      <c r="B17" s="24" t="s">
        <v>61</v>
      </c>
      <c r="C17" s="9" t="s">
        <v>27</v>
      </c>
      <c r="D17" s="9" t="s">
        <v>51</v>
      </c>
      <c r="E17" s="10">
        <v>41.2</v>
      </c>
      <c r="F17" s="11">
        <v>3010</v>
      </c>
      <c r="G17" s="12">
        <v>33.5</v>
      </c>
      <c r="H17" s="13">
        <v>0.75</v>
      </c>
      <c r="I17" s="11">
        <v>1480</v>
      </c>
      <c r="J17" s="14">
        <v>80</v>
      </c>
      <c r="K17" s="11">
        <f>F17/E17</f>
        <v>73.058252427184456</v>
      </c>
    </row>
    <row r="18" spans="2:11" ht="21.95" customHeight="1">
      <c r="B18" s="25" t="s">
        <v>62</v>
      </c>
      <c r="C18" s="15" t="s">
        <v>27</v>
      </c>
      <c r="D18" s="15" t="s">
        <v>59</v>
      </c>
      <c r="E18" s="16">
        <v>36.799999999999997</v>
      </c>
      <c r="F18" s="17">
        <v>2690</v>
      </c>
      <c r="G18" s="18">
        <v>34.1</v>
      </c>
      <c r="H18" s="19">
        <v>0.73</v>
      </c>
      <c r="I18" s="17">
        <v>1310</v>
      </c>
      <c r="J18" s="20">
        <v>78</v>
      </c>
      <c r="K18" s="17">
        <f>F18/E18</f>
        <v>73.09782608695653</v>
      </c>
    </row>
    <row r="19" spans="2:11" ht="21.95" customHeight="1">
      <c r="B19" s="24" t="s">
        <v>63</v>
      </c>
      <c r="C19" s="9" t="s">
        <v>28</v>
      </c>
      <c r="D19" s="9" t="s">
        <v>53</v>
      </c>
      <c r="E19" s="10">
        <v>12.7</v>
      </c>
      <c r="F19" s="11">
        <v>980</v>
      </c>
      <c r="G19" s="12">
        <v>26.9</v>
      </c>
      <c r="H19" s="13">
        <v>0.68</v>
      </c>
      <c r="I19" s="11">
        <v>395</v>
      </c>
      <c r="J19" s="14">
        <v>72</v>
      </c>
      <c r="K19" s="11">
        <f>F19/E19</f>
        <v>77.165354330708666</v>
      </c>
    </row>
    <row r="20" spans="2:11" ht="21.95" customHeight="1">
      <c r="B20" s="25" t="s">
        <v>64</v>
      </c>
      <c r="C20" s="15" t="s">
        <v>28</v>
      </c>
      <c r="D20" s="15" t="s">
        <v>51</v>
      </c>
      <c r="E20" s="16">
        <v>24.3</v>
      </c>
      <c r="F20" s="17">
        <v>1820</v>
      </c>
      <c r="G20" s="18">
        <v>31.4</v>
      </c>
      <c r="H20" s="19">
        <v>0.74</v>
      </c>
      <c r="I20" s="17">
        <v>820</v>
      </c>
      <c r="J20" s="20">
        <v>81</v>
      </c>
      <c r="K20" s="17">
        <f>F20/E20</f>
        <v>74.89711934156378</v>
      </c>
    </row>
    <row r="21" spans="2:11" ht="21.95" customHeight="1">
      <c r="B21" s="24" t="s">
        <v>65</v>
      </c>
      <c r="C21" s="9" t="s">
        <v>29</v>
      </c>
      <c r="D21" s="9" t="s">
        <v>49</v>
      </c>
      <c r="E21" s="10">
        <v>46.9</v>
      </c>
      <c r="F21" s="11">
        <v>3440</v>
      </c>
      <c r="G21" s="12">
        <v>37.799999999999997</v>
      </c>
      <c r="H21" s="13">
        <v>0.8</v>
      </c>
      <c r="I21" s="11">
        <v>1910</v>
      </c>
      <c r="J21" s="14">
        <v>86</v>
      </c>
      <c r="K21" s="11">
        <f>F21/E21</f>
        <v>73.347547974413644</v>
      </c>
    </row>
    <row r="22" spans="2:11" ht="21.95" customHeight="1">
      <c r="B22" s="25" t="s">
        <v>66</v>
      </c>
      <c r="C22" s="15" t="s">
        <v>29</v>
      </c>
      <c r="D22" s="15" t="s">
        <v>49</v>
      </c>
      <c r="E22" s="16">
        <v>51.4</v>
      </c>
      <c r="F22" s="17">
        <v>3760</v>
      </c>
      <c r="G22" s="18">
        <v>39.1</v>
      </c>
      <c r="H22" s="19">
        <v>0.83</v>
      </c>
      <c r="I22" s="17">
        <v>2180</v>
      </c>
      <c r="J22" s="20">
        <v>89</v>
      </c>
      <c r="K22" s="17">
        <f>F22/E22</f>
        <v>73.151750972762642</v>
      </c>
    </row>
    <row r="23" spans="2:11" ht="21.95" customHeight="1">
      <c r="B23" s="24" t="s">
        <v>67</v>
      </c>
      <c r="C23" s="9" t="s">
        <v>30</v>
      </c>
      <c r="D23" s="9" t="s">
        <v>59</v>
      </c>
      <c r="E23" s="10">
        <v>39.700000000000003</v>
      </c>
      <c r="F23" s="11">
        <v>2880</v>
      </c>
      <c r="G23" s="12">
        <v>37.5</v>
      </c>
      <c r="H23" s="13">
        <v>0.77</v>
      </c>
      <c r="I23" s="11">
        <v>1520</v>
      </c>
      <c r="J23" s="14">
        <v>83</v>
      </c>
      <c r="K23" s="11">
        <f>F23/E23</f>
        <v>72.544080604534003</v>
      </c>
    </row>
    <row r="24" spans="2:11" ht="21.95" customHeight="1">
      <c r="B24" s="25" t="s">
        <v>68</v>
      </c>
      <c r="C24" s="15" t="s">
        <v>30</v>
      </c>
      <c r="D24" s="15" t="s">
        <v>51</v>
      </c>
      <c r="E24" s="16">
        <v>32.5</v>
      </c>
      <c r="F24" s="17">
        <v>2390</v>
      </c>
      <c r="G24" s="18">
        <v>33.799999999999997</v>
      </c>
      <c r="H24" s="19">
        <v>0.75</v>
      </c>
      <c r="I24" s="17">
        <v>1145</v>
      </c>
      <c r="J24" s="20">
        <v>80</v>
      </c>
      <c r="K24" s="17">
        <f>F24/E24</f>
        <v>73.538461538461533</v>
      </c>
    </row>
    <row r="25" spans="2:11" ht="21.95" customHeight="1">
      <c r="B25" s="24" t="s">
        <v>69</v>
      </c>
      <c r="C25" s="9" t="s">
        <v>31</v>
      </c>
      <c r="D25" s="9" t="s">
        <v>53</v>
      </c>
      <c r="E25" s="10">
        <v>18.899999999999999</v>
      </c>
      <c r="F25" s="11">
        <v>1460</v>
      </c>
      <c r="G25" s="12">
        <v>29.7</v>
      </c>
      <c r="H25" s="13">
        <v>0.7</v>
      </c>
      <c r="I25" s="11">
        <v>620</v>
      </c>
      <c r="J25" s="14">
        <v>74</v>
      </c>
      <c r="K25" s="11">
        <f>F25/E25</f>
        <v>77.248677248677254</v>
      </c>
    </row>
    <row r="26" spans="2:11" ht="21.95" customHeight="1">
      <c r="B26" s="25" t="s">
        <v>70</v>
      </c>
      <c r="C26" s="15" t="s">
        <v>31</v>
      </c>
      <c r="D26" s="15" t="s">
        <v>56</v>
      </c>
      <c r="E26" s="16">
        <v>44.2</v>
      </c>
      <c r="F26" s="17">
        <v>2380</v>
      </c>
      <c r="G26" s="18">
        <v>49.8</v>
      </c>
      <c r="H26" s="19">
        <v>0.88</v>
      </c>
      <c r="I26" s="17">
        <v>2510</v>
      </c>
      <c r="J26" s="20">
        <v>91</v>
      </c>
      <c r="K26" s="17">
        <f>F26/E26</f>
        <v>53.84615384615384</v>
      </c>
    </row>
    <row r="27" spans="2:11" ht="21.95" customHeight="1">
      <c r="B27" s="24" t="s">
        <v>71</v>
      </c>
      <c r="C27" s="9" t="s">
        <v>32</v>
      </c>
      <c r="D27" s="9" t="s">
        <v>59</v>
      </c>
      <c r="E27" s="10">
        <v>28.3</v>
      </c>
      <c r="F27" s="11">
        <v>2050</v>
      </c>
      <c r="G27" s="12">
        <v>34.4</v>
      </c>
      <c r="H27" s="13">
        <v>0.72</v>
      </c>
      <c r="I27" s="11">
        <v>1040</v>
      </c>
      <c r="J27" s="14">
        <v>76</v>
      </c>
      <c r="K27" s="11">
        <f>F27/E27</f>
        <v>72.438162544169614</v>
      </c>
    </row>
    <row r="28" spans="2:11" ht="21.95" customHeight="1">
      <c r="B28" s="25" t="s">
        <v>72</v>
      </c>
      <c r="C28" s="15" t="s">
        <v>32</v>
      </c>
      <c r="D28" s="15" t="s">
        <v>51</v>
      </c>
      <c r="E28" s="16">
        <v>35.1</v>
      </c>
      <c r="F28" s="17">
        <v>2560</v>
      </c>
      <c r="G28" s="18">
        <v>32.700000000000003</v>
      </c>
      <c r="H28" s="19">
        <v>0.74</v>
      </c>
      <c r="I28" s="17">
        <v>1265</v>
      </c>
      <c r="J28" s="20">
        <v>79</v>
      </c>
      <c r="K28" s="17">
        <f>F28/E28</f>
        <v>72.934472934472936</v>
      </c>
    </row>
    <row r="30" spans="2:11" ht="24" customHeight="1">
      <c r="B30" s="26" t="s">
        <v>73</v>
      </c>
      <c r="C30" s="27"/>
      <c r="D30" s="27"/>
      <c r="E30" s="28">
        <f>SUM(E9:E28)</f>
        <v>702.59999999999991</v>
      </c>
      <c r="F30" s="29">
        <f>SUM(F9:F28)</f>
        <v>48790</v>
      </c>
      <c r="G30" s="30">
        <f>AVERAGE(G9:G28)</f>
        <v>36.6</v>
      </c>
      <c r="H30" s="31">
        <f>AVERAGE(H9:H28)</f>
        <v>0.77100000000000013</v>
      </c>
      <c r="I30" s="29">
        <f>SUM(I9:I28)</f>
        <v>29487</v>
      </c>
      <c r="J30" s="32">
        <f>AVERAGE(J9:J28)</f>
        <v>82.3</v>
      </c>
      <c r="K30" s="29">
        <f>F30/E30</f>
        <v>69.442072302875047</v>
      </c>
    </row>
    <row r="32" spans="2:11">
      <c r="B32" s="33" t="s">
        <v>74</v>
      </c>
      <c r="C32" s="55"/>
      <c r="D32" s="55"/>
      <c r="E32" s="55"/>
      <c r="F32" s="55"/>
      <c r="G32" s="55"/>
      <c r="H32" s="55"/>
      <c r="I32" s="55"/>
      <c r="J32" s="55"/>
      <c r="K32" s="55"/>
    </row>
  </sheetData>
  <phoneticPr fontId="1"/>
  <conditionalFormatting sqref="J9:J28">
    <cfRule type="colorScale" priority="1">
      <colorScale>
        <cfvo type="min"/>
        <cfvo type="percentile" val="50"/>
        <cfvo type="max"/>
        <color rgb="FFFFE8B3"/>
        <color rgb="FF95D5B2"/>
        <color rgb="FF1B4332"/>
      </colorScale>
    </cfRule>
  </conditionalFormatting>
  <conditionalFormatting sqref="I9:I28">
    <cfRule type="dataBar" priority="2">
      <dataBar>
        <cfvo type="min"/>
        <cfvo type="max"/>
        <color rgb="FF2D6A4F"/>
      </dataBar>
      <extLst>
        <ext xmlns:x14="http://schemas.microsoft.com/office/spreadsheetml/2009/9/main" uri="{B025F937-C7B1-47D3-B67F-A62EFF666E3E}">
          <x14:id>{A8C650D1-7D80-004A-8B3F-D4F81641AACF}</x14:id>
        </ext>
      </extLst>
    </cfRule>
  </conditionalFormatting>
  <conditionalFormatting sqref="H9:H28">
    <cfRule type="colorScale" priority="3">
      <colorScale>
        <cfvo type="min"/>
        <cfvo type="max"/>
        <color rgb="FFF8F9F4"/>
        <color rgb="FF74C69D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C650D1-7D80-004A-8B3F-D4F81641AAC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I9:I28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5B33-DFE8-2B47-BBD0-E9546075E0B9}">
  <dimension ref="B2:W23"/>
  <sheetViews>
    <sheetView showGridLines="0" workbookViewId="0"/>
  </sheetViews>
  <sheetFormatPr defaultColWidth="11.5546875" defaultRowHeight="20.100000000000001"/>
  <cols>
    <col min="1" max="1" width="2.88671875" customWidth="1"/>
    <col min="2" max="2" width="25.6640625" customWidth="1"/>
    <col min="3" max="3" width="18.5546875" customWidth="1"/>
    <col min="4" max="5" width="14.33203125" customWidth="1"/>
    <col min="6" max="6" width="15.6640625" customWidth="1"/>
    <col min="7" max="7" width="17.109375" customWidth="1"/>
    <col min="8" max="8" width="18.5546875" customWidth="1"/>
    <col min="9" max="9" width="17.109375" customWidth="1"/>
    <col min="22" max="23" width="0.33203125" customWidth="1"/>
  </cols>
  <sheetData>
    <row r="2" spans="2:23" ht="36.950000000000003">
      <c r="B2" s="1" t="s">
        <v>75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2:23">
      <c r="B3" s="2" t="s">
        <v>76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7" spans="2:23" ht="21" thickBot="1">
      <c r="B7" s="21" t="s">
        <v>77</v>
      </c>
      <c r="C7" s="21" t="s">
        <v>78</v>
      </c>
      <c r="D7" s="22" t="s">
        <v>79</v>
      </c>
      <c r="E7" s="22" t="s">
        <v>80</v>
      </c>
      <c r="F7" s="22" t="s">
        <v>81</v>
      </c>
      <c r="G7" s="22" t="s">
        <v>82</v>
      </c>
      <c r="H7" s="22" t="s">
        <v>83</v>
      </c>
      <c r="I7" s="23" t="s">
        <v>84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</row>
    <row r="8" spans="2:23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6" t="s">
        <v>85</v>
      </c>
      <c r="W8" s="6" t="s">
        <v>79</v>
      </c>
    </row>
    <row r="9" spans="2:23" ht="21.95" customHeight="1">
      <c r="B9" s="24" t="s">
        <v>86</v>
      </c>
      <c r="C9" s="9" t="s">
        <v>87</v>
      </c>
      <c r="D9" s="11">
        <v>8420</v>
      </c>
      <c r="E9" s="34">
        <f>D9/SUM($D$9:$D$23)</f>
        <v>0.17618748692195019</v>
      </c>
      <c r="F9" s="35">
        <v>45</v>
      </c>
      <c r="G9" s="35">
        <v>120</v>
      </c>
      <c r="H9" s="11">
        <v>285</v>
      </c>
      <c r="I9" s="38" t="s">
        <v>88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6" t="str">
        <f>B9</f>
        <v>Silver Birch</v>
      </c>
      <c r="W9" s="42">
        <f>D9</f>
        <v>8420</v>
      </c>
    </row>
    <row r="10" spans="2:23" ht="21.95" customHeight="1">
      <c r="B10" s="25" t="s">
        <v>89</v>
      </c>
      <c r="C10" s="15" t="s">
        <v>90</v>
      </c>
      <c r="D10" s="17">
        <v>6710</v>
      </c>
      <c r="E10" s="36">
        <f>D10/SUM($D$9:$D$23)</f>
        <v>0.14040594266582967</v>
      </c>
      <c r="F10" s="37">
        <v>55</v>
      </c>
      <c r="G10" s="37">
        <v>210</v>
      </c>
      <c r="H10" s="17">
        <v>520</v>
      </c>
      <c r="I10" s="38" t="s">
        <v>88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6" t="str">
        <f>B10</f>
        <v>Scots Pine</v>
      </c>
      <c r="W10" s="42">
        <f>D10</f>
        <v>6710</v>
      </c>
    </row>
    <row r="11" spans="2:23" ht="21.95" customHeight="1">
      <c r="B11" s="24" t="s">
        <v>91</v>
      </c>
      <c r="C11" s="9" t="s">
        <v>87</v>
      </c>
      <c r="D11" s="11">
        <v>5930</v>
      </c>
      <c r="E11" s="34">
        <f>D11/SUM($D$9:$D$23)</f>
        <v>0.12408453651391504</v>
      </c>
      <c r="F11" s="35">
        <v>40</v>
      </c>
      <c r="G11" s="35">
        <v>300</v>
      </c>
      <c r="H11" s="11">
        <v>610</v>
      </c>
      <c r="I11" s="38" t="s">
        <v>88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6" t="str">
        <f>B11</f>
        <v>European Beech</v>
      </c>
      <c r="W11" s="42">
        <f>D11</f>
        <v>5930</v>
      </c>
    </row>
    <row r="12" spans="2:23" ht="21.95" customHeight="1">
      <c r="B12" s="25" t="s">
        <v>92</v>
      </c>
      <c r="C12" s="15" t="s">
        <v>90</v>
      </c>
      <c r="D12" s="17">
        <v>5240</v>
      </c>
      <c r="E12" s="36">
        <f>D12/SUM($D$9:$D$23)</f>
        <v>0.10964636953337518</v>
      </c>
      <c r="F12" s="37">
        <v>50</v>
      </c>
      <c r="G12" s="37">
        <v>250</v>
      </c>
      <c r="H12" s="17">
        <v>480</v>
      </c>
      <c r="I12" s="38" t="s">
        <v>88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6" t="str">
        <f>B12</f>
        <v>Norway Spruce</v>
      </c>
      <c r="W12" s="42">
        <f>D12</f>
        <v>5240</v>
      </c>
    </row>
    <row r="13" spans="2:23" ht="21.95" customHeight="1">
      <c r="B13" s="24" t="s">
        <v>93</v>
      </c>
      <c r="C13" s="9" t="s">
        <v>87</v>
      </c>
      <c r="D13" s="11">
        <v>4180</v>
      </c>
      <c r="E13" s="34">
        <f>D13/SUM($D$9:$D$23)</f>
        <v>8.7465997070516846E-2</v>
      </c>
      <c r="F13" s="35">
        <v>35</v>
      </c>
      <c r="G13" s="35">
        <v>600</v>
      </c>
      <c r="H13" s="11">
        <v>890</v>
      </c>
      <c r="I13" s="39" t="s">
        <v>94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6" t="str">
        <f>B13</f>
        <v>Sessile Oak</v>
      </c>
      <c r="W13" s="42">
        <f>D13</f>
        <v>4180</v>
      </c>
    </row>
    <row r="14" spans="2:23" ht="21.95" customHeight="1">
      <c r="B14" s="25" t="s">
        <v>95</v>
      </c>
      <c r="C14" s="15" t="s">
        <v>87</v>
      </c>
      <c r="D14" s="17">
        <v>3620</v>
      </c>
      <c r="E14" s="36">
        <f>D14/SUM($D$9:$D$23)</f>
        <v>7.5748064448629415E-2</v>
      </c>
      <c r="F14" s="37">
        <v>28</v>
      </c>
      <c r="G14" s="37">
        <v>100</v>
      </c>
      <c r="H14" s="17">
        <v>210</v>
      </c>
      <c r="I14" s="38" t="s">
        <v>88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6" t="str">
        <f>B14</f>
        <v>Black Alder</v>
      </c>
      <c r="W14" s="42">
        <f>D14</f>
        <v>3620</v>
      </c>
    </row>
    <row r="15" spans="2:23" ht="21.95" customHeight="1">
      <c r="B15" s="24" t="s">
        <v>96</v>
      </c>
      <c r="C15" s="9" t="s">
        <v>90</v>
      </c>
      <c r="D15" s="11">
        <v>3150</v>
      </c>
      <c r="E15" s="34">
        <f>D15/SUM($D$9:$D$23)</f>
        <v>6.5913370998116755E-2</v>
      </c>
      <c r="F15" s="35">
        <v>60</v>
      </c>
      <c r="G15" s="35">
        <v>500</v>
      </c>
      <c r="H15" s="11">
        <v>720</v>
      </c>
      <c r="I15" s="38" t="s">
        <v>88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6" t="str">
        <f>B15</f>
        <v>Douglas Fir</v>
      </c>
      <c r="W15" s="42">
        <f>D15</f>
        <v>3150</v>
      </c>
    </row>
    <row r="16" spans="2:23" ht="21.95" customHeight="1">
      <c r="B16" s="25" t="s">
        <v>97</v>
      </c>
      <c r="C16" s="15" t="s">
        <v>87</v>
      </c>
      <c r="D16" s="17">
        <v>2480</v>
      </c>
      <c r="E16" s="36">
        <f>D16/SUM($D$9:$D$23)</f>
        <v>5.1893701611215738E-2</v>
      </c>
      <c r="F16" s="37">
        <v>15</v>
      </c>
      <c r="G16" s="37">
        <v>150</v>
      </c>
      <c r="H16" s="17">
        <v>95</v>
      </c>
      <c r="I16" s="38" t="s">
        <v>88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6" t="str">
        <f>B16</f>
        <v>Rowan</v>
      </c>
      <c r="W16" s="42">
        <f>D16</f>
        <v>2480</v>
      </c>
    </row>
    <row r="17" spans="2:23" ht="21.95" customHeight="1">
      <c r="B17" s="24" t="s">
        <v>98</v>
      </c>
      <c r="C17" s="9" t="s">
        <v>90</v>
      </c>
      <c r="D17" s="11">
        <v>2100</v>
      </c>
      <c r="E17" s="34">
        <f>D17/SUM($D$9:$D$23)</f>
        <v>4.3942247332077841E-2</v>
      </c>
      <c r="F17" s="35">
        <v>55</v>
      </c>
      <c r="G17" s="35">
        <v>400</v>
      </c>
      <c r="H17" s="11">
        <v>560</v>
      </c>
      <c r="I17" s="39" t="s">
        <v>94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6" t="str">
        <f>B17</f>
        <v>Western Hemlock</v>
      </c>
      <c r="W17" s="42">
        <f>D17</f>
        <v>2100</v>
      </c>
    </row>
    <row r="18" spans="2:23" ht="21.95" customHeight="1">
      <c r="B18" s="25" t="s">
        <v>99</v>
      </c>
      <c r="C18" s="15" t="s">
        <v>87</v>
      </c>
      <c r="D18" s="17">
        <v>1740</v>
      </c>
      <c r="E18" s="36">
        <f>D18/SUM($D$9:$D$23)</f>
        <v>3.6409290646578781E-2</v>
      </c>
      <c r="F18" s="37">
        <v>18</v>
      </c>
      <c r="G18" s="37">
        <v>120</v>
      </c>
      <c r="H18" s="17">
        <v>120</v>
      </c>
      <c r="I18" s="40" t="s">
        <v>100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6" t="str">
        <f>B18</f>
        <v>Mountain Ash</v>
      </c>
      <c r="W18" s="42">
        <f>D18</f>
        <v>1740</v>
      </c>
    </row>
    <row r="19" spans="2:23" ht="21.95" customHeight="1">
      <c r="B19" s="24" t="s">
        <v>101</v>
      </c>
      <c r="C19" s="9" t="s">
        <v>53</v>
      </c>
      <c r="D19" s="11">
        <v>1320</v>
      </c>
      <c r="E19" s="34">
        <f>D19/SUM($D$9:$D$23)</f>
        <v>2.7620841180163214E-2</v>
      </c>
      <c r="F19" s="35">
        <v>22</v>
      </c>
      <c r="G19" s="35">
        <v>80</v>
      </c>
      <c r="H19" s="11">
        <v>160</v>
      </c>
      <c r="I19" s="39" t="s">
        <v>94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6" t="str">
        <f>B19</f>
        <v>White Willow</v>
      </c>
      <c r="W19" s="42">
        <f>D19</f>
        <v>1320</v>
      </c>
    </row>
    <row r="20" spans="2:23" ht="21.95" customHeight="1">
      <c r="B20" s="25" t="s">
        <v>102</v>
      </c>
      <c r="C20" s="15" t="s">
        <v>87</v>
      </c>
      <c r="D20" s="17">
        <v>980</v>
      </c>
      <c r="E20" s="36">
        <f>D20/SUM($D$9:$D$23)</f>
        <v>2.0506382088302993E-2</v>
      </c>
      <c r="F20" s="37">
        <v>25</v>
      </c>
      <c r="G20" s="37">
        <v>80</v>
      </c>
      <c r="H20" s="17">
        <v>140</v>
      </c>
      <c r="I20" s="38" t="s">
        <v>88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6" t="str">
        <f>B20</f>
        <v>Aspen</v>
      </c>
      <c r="W20" s="42">
        <f>D20</f>
        <v>980</v>
      </c>
    </row>
    <row r="21" spans="2:23" ht="21.95" customHeight="1">
      <c r="B21" s="24" t="s">
        <v>103</v>
      </c>
      <c r="C21" s="9" t="s">
        <v>90</v>
      </c>
      <c r="D21" s="11">
        <v>720</v>
      </c>
      <c r="E21" s="34">
        <f>D21/SUM($D$9:$D$23)</f>
        <v>1.5065913370998116E-2</v>
      </c>
      <c r="F21" s="35">
        <v>18</v>
      </c>
      <c r="G21" s="35">
        <v>800</v>
      </c>
      <c r="H21" s="11">
        <v>240</v>
      </c>
      <c r="I21" s="41" t="s">
        <v>104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6" t="str">
        <f>B21</f>
        <v>Yew</v>
      </c>
      <c r="W21" s="42">
        <f>D21</f>
        <v>720</v>
      </c>
    </row>
    <row r="22" spans="2:23" ht="21.95" customHeight="1">
      <c r="B22" s="25" t="s">
        <v>105</v>
      </c>
      <c r="C22" s="15" t="s">
        <v>87</v>
      </c>
      <c r="D22" s="17">
        <v>640</v>
      </c>
      <c r="E22" s="36">
        <f>D22/SUM($D$9:$D$23)</f>
        <v>1.3391922996442771E-2</v>
      </c>
      <c r="F22" s="37">
        <v>25</v>
      </c>
      <c r="G22" s="37">
        <v>200</v>
      </c>
      <c r="H22" s="17">
        <v>280</v>
      </c>
      <c r="I22" s="38" t="s">
        <v>88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6" t="str">
        <f>B22</f>
        <v>Hornbeam</v>
      </c>
      <c r="W22" s="42">
        <f>D22</f>
        <v>640</v>
      </c>
    </row>
    <row r="23" spans="2:23" ht="21.95" customHeight="1">
      <c r="B23" s="24" t="s">
        <v>106</v>
      </c>
      <c r="C23" s="9" t="s">
        <v>90</v>
      </c>
      <c r="D23" s="11">
        <v>560</v>
      </c>
      <c r="E23" s="34">
        <f>D23/SUM($D$9:$D$23)</f>
        <v>1.1717932621887424E-2</v>
      </c>
      <c r="F23" s="35">
        <v>8</v>
      </c>
      <c r="G23" s="35">
        <v>180</v>
      </c>
      <c r="H23" s="11">
        <v>45</v>
      </c>
      <c r="I23" s="41" t="s">
        <v>104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6" t="str">
        <f>B23</f>
        <v>Juniper</v>
      </c>
      <c r="W23" s="42">
        <f>D23</f>
        <v>560</v>
      </c>
    </row>
  </sheetData>
  <phoneticPr fontId="1"/>
  <conditionalFormatting sqref="D9:D23">
    <cfRule type="dataBar" priority="1">
      <dataBar>
        <cfvo type="min"/>
        <cfvo type="max"/>
        <color rgb="FF95D5B2"/>
      </dataBar>
      <extLst>
        <ext xmlns:x14="http://schemas.microsoft.com/office/spreadsheetml/2009/9/main" uri="{B025F937-C7B1-47D3-B67F-A62EFF666E3E}">
          <x14:id>{4B12D986-E1E2-AC46-B398-EC6B654E6A01}</x14:id>
        </ext>
      </extLst>
    </cfRule>
  </conditionalFormatting>
  <conditionalFormatting sqref="H9:H23">
    <cfRule type="colorScale" priority="2">
      <colorScale>
        <cfvo type="min"/>
        <cfvo type="max"/>
        <color rgb="FFF8F9F4"/>
        <color rgb="FF2D6A4F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12D986-E1E2-AC46-B398-EC6B654E6A0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D9:D23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5DAF-2E7C-E24B-96BE-8192AD617760}">
  <dimension ref="B2:G26"/>
  <sheetViews>
    <sheetView showGridLines="0" workbookViewId="0"/>
  </sheetViews>
  <sheetFormatPr defaultColWidth="11.5546875" defaultRowHeight="20.100000000000001"/>
  <cols>
    <col min="1" max="1" width="2.88671875" customWidth="1"/>
    <col min="2" max="2" width="12.88671875" customWidth="1"/>
    <col min="3" max="7" width="18.5546875" customWidth="1"/>
  </cols>
  <sheetData>
    <row r="2" spans="2:7" ht="36.950000000000003">
      <c r="B2" s="1" t="s">
        <v>107</v>
      </c>
      <c r="C2" s="55"/>
      <c r="D2" s="55"/>
      <c r="E2" s="55"/>
      <c r="F2" s="55"/>
      <c r="G2" s="55"/>
    </row>
    <row r="3" spans="2:7">
      <c r="B3" s="2" t="s">
        <v>108</v>
      </c>
      <c r="C3" s="55"/>
      <c r="D3" s="55"/>
      <c r="E3" s="55"/>
      <c r="F3" s="55"/>
      <c r="G3" s="55"/>
    </row>
    <row r="7" spans="2:7" ht="21" thickBot="1">
      <c r="B7" s="21" t="s">
        <v>109</v>
      </c>
      <c r="C7" s="22" t="s">
        <v>110</v>
      </c>
      <c r="D7" s="22" t="s">
        <v>111</v>
      </c>
      <c r="E7" s="22" t="s">
        <v>112</v>
      </c>
      <c r="F7" s="22" t="s">
        <v>113</v>
      </c>
      <c r="G7" s="22" t="s">
        <v>114</v>
      </c>
    </row>
    <row r="9" spans="2:7" ht="21.95" customHeight="1">
      <c r="B9" s="43">
        <v>2015</v>
      </c>
      <c r="C9" s="11">
        <v>18420</v>
      </c>
      <c r="D9" s="11">
        <v>9240</v>
      </c>
      <c r="E9" s="11">
        <v>14800</v>
      </c>
      <c r="F9" s="34">
        <v>2.8000000000000001E-2</v>
      </c>
      <c r="G9" s="44" t="s">
        <v>115</v>
      </c>
    </row>
    <row r="10" spans="2:7" ht="21.95" customHeight="1">
      <c r="B10" s="45">
        <v>2016</v>
      </c>
      <c r="C10" s="17">
        <v>19150</v>
      </c>
      <c r="D10" s="17">
        <v>9520</v>
      </c>
      <c r="E10" s="17">
        <v>15200</v>
      </c>
      <c r="F10" s="36">
        <v>2.5999999999999999E-2</v>
      </c>
      <c r="G10" s="46">
        <f>C10/C9 - 1</f>
        <v>3.9630836047774176E-2</v>
      </c>
    </row>
    <row r="11" spans="2:7" ht="21.95" customHeight="1">
      <c r="B11" s="43">
        <v>2017</v>
      </c>
      <c r="C11" s="11">
        <v>20080</v>
      </c>
      <c r="D11" s="11">
        <v>9880</v>
      </c>
      <c r="E11" s="11">
        <v>16100</v>
      </c>
      <c r="F11" s="34">
        <v>3.1E-2</v>
      </c>
      <c r="G11" s="44">
        <f>C11/C10 - 1</f>
        <v>4.8563968668407398E-2</v>
      </c>
    </row>
    <row r="12" spans="2:7" ht="21.95" customHeight="1">
      <c r="B12" s="45">
        <v>2018</v>
      </c>
      <c r="C12" s="17">
        <v>19720</v>
      </c>
      <c r="D12" s="17">
        <v>9610</v>
      </c>
      <c r="E12" s="17">
        <v>15400</v>
      </c>
      <c r="F12" s="36">
        <v>3.4000000000000002E-2</v>
      </c>
      <c r="G12" s="46">
        <f>C12/C11 - 1</f>
        <v>-1.7928286852589626E-2</v>
      </c>
    </row>
    <row r="13" spans="2:7" ht="21.95" customHeight="1">
      <c r="B13" s="43">
        <v>2019</v>
      </c>
      <c r="C13" s="11">
        <v>21340</v>
      </c>
      <c r="D13" s="11">
        <v>10420</v>
      </c>
      <c r="E13" s="11">
        <v>17200</v>
      </c>
      <c r="F13" s="34">
        <v>2.5000000000000001E-2</v>
      </c>
      <c r="G13" s="44">
        <f>C13/C12 - 1</f>
        <v>8.2150101419878219E-2</v>
      </c>
    </row>
    <row r="14" spans="2:7" ht="21.95" customHeight="1">
      <c r="B14" s="45">
        <v>2020</v>
      </c>
      <c r="C14" s="17">
        <v>22150</v>
      </c>
      <c r="D14" s="17">
        <v>10780</v>
      </c>
      <c r="E14" s="17">
        <v>17900</v>
      </c>
      <c r="F14" s="36">
        <v>2.3E-2</v>
      </c>
      <c r="G14" s="46">
        <f>C14/C13 - 1</f>
        <v>3.7956888472352457E-2</v>
      </c>
    </row>
    <row r="15" spans="2:7" ht="21.95" customHeight="1">
      <c r="B15" s="43">
        <v>2021</v>
      </c>
      <c r="C15" s="11">
        <v>23480</v>
      </c>
      <c r="D15" s="11">
        <v>11320</v>
      </c>
      <c r="E15" s="11">
        <v>18650</v>
      </c>
      <c r="F15" s="34">
        <v>2.1999999999999999E-2</v>
      </c>
      <c r="G15" s="44">
        <f>C15/C14 - 1</f>
        <v>6.0045146726862342E-2</v>
      </c>
    </row>
    <row r="16" spans="2:7" ht="21.95" customHeight="1">
      <c r="B16" s="45">
        <v>2022</v>
      </c>
      <c r="C16" s="17">
        <v>24910</v>
      </c>
      <c r="D16" s="17">
        <v>11950</v>
      </c>
      <c r="E16" s="17">
        <v>19400</v>
      </c>
      <c r="F16" s="36">
        <v>2.4E-2</v>
      </c>
      <c r="G16" s="46">
        <f>C16/C15 - 1</f>
        <v>6.0902896081771685E-2</v>
      </c>
    </row>
    <row r="17" spans="2:7" ht="21.95" customHeight="1">
      <c r="B17" s="43">
        <v>2023</v>
      </c>
      <c r="C17" s="11">
        <v>26240</v>
      </c>
      <c r="D17" s="11">
        <v>12510</v>
      </c>
      <c r="E17" s="11">
        <v>20350</v>
      </c>
      <c r="F17" s="34">
        <v>2.1000000000000001E-2</v>
      </c>
      <c r="G17" s="44">
        <f>C17/C16 - 1</f>
        <v>5.3392211963066982E-2</v>
      </c>
    </row>
    <row r="18" spans="2:7" ht="21.95" customHeight="1">
      <c r="B18" s="45">
        <v>2024</v>
      </c>
      <c r="C18" s="17">
        <v>27680</v>
      </c>
      <c r="D18" s="17">
        <v>13180</v>
      </c>
      <c r="E18" s="17">
        <v>21100</v>
      </c>
      <c r="F18" s="36">
        <v>1.9E-2</v>
      </c>
      <c r="G18" s="46">
        <f>C18/C17 - 1</f>
        <v>5.4878048780487854E-2</v>
      </c>
    </row>
    <row r="20" spans="2:7">
      <c r="B20" s="47" t="s">
        <v>116</v>
      </c>
      <c r="C20" s="55"/>
      <c r="D20" s="55"/>
      <c r="E20" s="55"/>
      <c r="F20" s="55"/>
      <c r="G20" s="55"/>
    </row>
    <row r="22" spans="2:7">
      <c r="B22" s="8" t="s">
        <v>117</v>
      </c>
      <c r="C22" s="48">
        <f>SUM(C9:C18)</f>
        <v>223170</v>
      </c>
      <c r="D22" s="55"/>
      <c r="E22" s="55"/>
      <c r="F22" s="55"/>
      <c r="G22" s="55"/>
    </row>
    <row r="23" spans="2:7">
      <c r="B23" s="8" t="s">
        <v>118</v>
      </c>
      <c r="C23" s="48">
        <f>AVERAGE(D9:D18)</f>
        <v>10841</v>
      </c>
      <c r="D23" s="55"/>
      <c r="E23" s="55"/>
      <c r="F23" s="55"/>
      <c r="G23" s="55"/>
    </row>
    <row r="24" spans="2:7">
      <c r="B24" s="8" t="s">
        <v>119</v>
      </c>
      <c r="C24" s="48">
        <f>SUM(E9:E18)</f>
        <v>176100</v>
      </c>
      <c r="D24" s="55"/>
      <c r="E24" s="55"/>
      <c r="F24" s="55"/>
      <c r="G24" s="55"/>
    </row>
    <row r="25" spans="2:7">
      <c r="B25" s="8" t="s">
        <v>120</v>
      </c>
      <c r="C25" s="49">
        <f>AVERAGE(F9:F18)</f>
        <v>2.5299999999999996E-2</v>
      </c>
      <c r="D25" s="55"/>
      <c r="E25" s="55"/>
      <c r="F25" s="55"/>
      <c r="G25" s="55"/>
    </row>
    <row r="26" spans="2:7">
      <c r="B26" s="8" t="s">
        <v>121</v>
      </c>
      <c r="C26" s="50">
        <f>(C18/C9)^(1/9)-1</f>
        <v>4.6292085035328778E-2</v>
      </c>
      <c r="D26" s="55"/>
      <c r="E26" s="55"/>
      <c r="F26" s="55"/>
      <c r="G26" s="55"/>
    </row>
  </sheetData>
  <phoneticPr fontId="1"/>
  <conditionalFormatting sqref="C9:C18">
    <cfRule type="dataBar" priority="1">
      <dataBar>
        <cfvo type="min"/>
        <cfvo type="max"/>
        <color rgb="FF2D6A4F"/>
      </dataBar>
      <extLst>
        <ext xmlns:x14="http://schemas.microsoft.com/office/spreadsheetml/2009/9/main" uri="{B025F937-C7B1-47D3-B67F-A62EFF666E3E}">
          <x14:id>{D0CC4EF4-118E-5744-B96E-FD8B1952964C}</x14:id>
        </ext>
      </extLst>
    </cfRule>
  </conditionalFormatting>
  <conditionalFormatting sqref="F9:F18">
    <cfRule type="colorScale" priority="2">
      <colorScale>
        <cfvo type="min"/>
        <cfvo type="max"/>
        <color rgb="FFD8F0DE"/>
        <color rgb="FFF4B7A1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CC4EF4-118E-5744-B96E-FD8B1952964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C9:C18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02A2-774F-D440-AC21-50469B239543}">
  <dimension ref="B2:H18"/>
  <sheetViews>
    <sheetView showGridLines="0" workbookViewId="0"/>
  </sheetViews>
  <sheetFormatPr defaultColWidth="11.5546875" defaultRowHeight="20.100000000000001"/>
  <cols>
    <col min="1" max="1" width="2.88671875" customWidth="1"/>
    <col min="2" max="2" width="20" customWidth="1"/>
    <col min="3" max="5" width="14.33203125" customWidth="1"/>
    <col min="6" max="8" width="17.109375" customWidth="1"/>
  </cols>
  <sheetData>
    <row r="2" spans="2:8" ht="36.950000000000003">
      <c r="B2" s="1" t="s">
        <v>122</v>
      </c>
      <c r="C2" s="55"/>
      <c r="D2" s="55"/>
      <c r="E2" s="55"/>
      <c r="F2" s="55"/>
      <c r="G2" s="55"/>
      <c r="H2" s="55"/>
    </row>
    <row r="3" spans="2:8">
      <c r="B3" s="2" t="s">
        <v>123</v>
      </c>
      <c r="C3" s="55"/>
      <c r="D3" s="55"/>
      <c r="E3" s="55"/>
      <c r="F3" s="55"/>
      <c r="G3" s="55"/>
      <c r="H3" s="55"/>
    </row>
    <row r="7" spans="2:8" ht="21" thickBot="1">
      <c r="B7" s="21" t="s">
        <v>16</v>
      </c>
      <c r="C7" s="22" t="s">
        <v>124</v>
      </c>
      <c r="D7" s="22" t="s">
        <v>125</v>
      </c>
      <c r="E7" s="22" t="s">
        <v>126</v>
      </c>
      <c r="F7" s="22" t="s">
        <v>127</v>
      </c>
      <c r="G7" s="22" t="s">
        <v>128</v>
      </c>
      <c r="H7" s="23" t="s">
        <v>129</v>
      </c>
    </row>
    <row r="9" spans="2:8" ht="21.95" customHeight="1">
      <c r="B9" s="24" t="s">
        <v>23</v>
      </c>
      <c r="C9" s="11">
        <v>18</v>
      </c>
      <c r="D9" s="11">
        <v>47</v>
      </c>
      <c r="E9" s="11">
        <v>142</v>
      </c>
      <c r="F9" s="11">
        <v>310</v>
      </c>
      <c r="G9" s="51">
        <v>3.42</v>
      </c>
      <c r="H9" s="53">
        <f>ROUND((G9-MIN($G$9:$G$18))/(MAX($G$9:$G$18)-MIN($G$9:$G$18))*40+60,0)</f>
        <v>74</v>
      </c>
    </row>
    <row r="10" spans="2:8" ht="21.95" customHeight="1">
      <c r="B10" s="25" t="s">
        <v>24</v>
      </c>
      <c r="C10" s="17">
        <v>14</v>
      </c>
      <c r="D10" s="17">
        <v>52</v>
      </c>
      <c r="E10" s="17">
        <v>168</v>
      </c>
      <c r="F10" s="17">
        <v>285</v>
      </c>
      <c r="G10" s="52">
        <v>3.58</v>
      </c>
      <c r="H10" s="54">
        <f>ROUND((G10-MIN($G$9:$G$18))/(MAX($G$9:$G$18)-MIN($G$9:$G$18))*40+60,0)</f>
        <v>85</v>
      </c>
    </row>
    <row r="11" spans="2:8" ht="21.95" customHeight="1">
      <c r="B11" s="24" t="s">
        <v>25</v>
      </c>
      <c r="C11" s="11">
        <v>22</v>
      </c>
      <c r="D11" s="11">
        <v>61</v>
      </c>
      <c r="E11" s="11">
        <v>195</v>
      </c>
      <c r="F11" s="11">
        <v>420</v>
      </c>
      <c r="G11" s="51">
        <v>3.81</v>
      </c>
      <c r="H11" s="53">
        <f>ROUND((G11-MIN($G$9:$G$18))/(MAX($G$9:$G$18)-MIN($G$9:$G$18))*40+60,0)</f>
        <v>100</v>
      </c>
    </row>
    <row r="12" spans="2:8" ht="21.95" customHeight="1">
      <c r="B12" s="25" t="s">
        <v>26</v>
      </c>
      <c r="C12" s="17">
        <v>16</v>
      </c>
      <c r="D12" s="17">
        <v>44</v>
      </c>
      <c r="E12" s="17">
        <v>128</v>
      </c>
      <c r="F12" s="17">
        <v>295</v>
      </c>
      <c r="G12" s="52">
        <v>3.29</v>
      </c>
      <c r="H12" s="54">
        <f>ROUND((G12-MIN($G$9:$G$18))/(MAX($G$9:$G$18)-MIN($G$9:$G$18))*40+60,0)</f>
        <v>65</v>
      </c>
    </row>
    <row r="13" spans="2:8" ht="21.95" customHeight="1">
      <c r="B13" s="24" t="s">
        <v>27</v>
      </c>
      <c r="C13" s="11">
        <v>19</v>
      </c>
      <c r="D13" s="11">
        <v>49</v>
      </c>
      <c r="E13" s="11">
        <v>151</v>
      </c>
      <c r="F13" s="11">
        <v>340</v>
      </c>
      <c r="G13" s="51">
        <v>3.47</v>
      </c>
      <c r="H13" s="53">
        <f>ROUND((G13-MIN($G$9:$G$18))/(MAX($G$9:$G$18)-MIN($G$9:$G$18))*40+60,0)</f>
        <v>77</v>
      </c>
    </row>
    <row r="14" spans="2:8" ht="21.95" customHeight="1">
      <c r="B14" s="25" t="s">
        <v>28</v>
      </c>
      <c r="C14" s="17">
        <v>12</v>
      </c>
      <c r="D14" s="17">
        <v>38</v>
      </c>
      <c r="E14" s="17">
        <v>175</v>
      </c>
      <c r="F14" s="17">
        <v>270</v>
      </c>
      <c r="G14" s="52">
        <v>3.35</v>
      </c>
      <c r="H14" s="54">
        <f>ROUND((G14-MIN($G$9:$G$18))/(MAX($G$9:$G$18)-MIN($G$9:$G$18))*40+60,0)</f>
        <v>69</v>
      </c>
    </row>
    <row r="15" spans="2:8" ht="21.95" customHeight="1">
      <c r="B15" s="24" t="s">
        <v>29</v>
      </c>
      <c r="C15" s="11">
        <v>17</v>
      </c>
      <c r="D15" s="11">
        <v>45</v>
      </c>
      <c r="E15" s="11">
        <v>132</v>
      </c>
      <c r="F15" s="11">
        <v>305</v>
      </c>
      <c r="G15" s="51">
        <v>3.38</v>
      </c>
      <c r="H15" s="53">
        <f>ROUND((G15-MIN($G$9:$G$18))/(MAX($G$9:$G$18)-MIN($G$9:$G$18))*40+60,0)</f>
        <v>71</v>
      </c>
    </row>
    <row r="16" spans="2:8" ht="21.95" customHeight="1">
      <c r="B16" s="25" t="s">
        <v>30</v>
      </c>
      <c r="C16" s="17">
        <v>20</v>
      </c>
      <c r="D16" s="17">
        <v>53</v>
      </c>
      <c r="E16" s="17">
        <v>147</v>
      </c>
      <c r="F16" s="17">
        <v>360</v>
      </c>
      <c r="G16" s="52">
        <v>3.54</v>
      </c>
      <c r="H16" s="54">
        <f>ROUND((G16-MIN($G$9:$G$18))/(MAX($G$9:$G$18)-MIN($G$9:$G$18))*40+60,0)</f>
        <v>82</v>
      </c>
    </row>
    <row r="17" spans="2:8" ht="21.95" customHeight="1">
      <c r="B17" s="24" t="s">
        <v>31</v>
      </c>
      <c r="C17" s="11">
        <v>15</v>
      </c>
      <c r="D17" s="11">
        <v>56</v>
      </c>
      <c r="E17" s="11">
        <v>182</v>
      </c>
      <c r="F17" s="11">
        <v>320</v>
      </c>
      <c r="G17" s="51">
        <v>3.62</v>
      </c>
      <c r="H17" s="53">
        <f>ROUND((G17-MIN($G$9:$G$18))/(MAX($G$9:$G$18)-MIN($G$9:$G$18))*40+60,0)</f>
        <v>87</v>
      </c>
    </row>
    <row r="18" spans="2:8" ht="21.95" customHeight="1">
      <c r="B18" s="25" t="s">
        <v>32</v>
      </c>
      <c r="C18" s="17">
        <v>13</v>
      </c>
      <c r="D18" s="17">
        <v>41</v>
      </c>
      <c r="E18" s="17">
        <v>124</v>
      </c>
      <c r="F18" s="17">
        <v>260</v>
      </c>
      <c r="G18" s="52">
        <v>3.21</v>
      </c>
      <c r="H18" s="54">
        <f>ROUND((G18-MIN($G$9:$G$18))/(MAX($G$9:$G$18)-MIN($G$9:$G$18))*40+60,0)</f>
        <v>60</v>
      </c>
    </row>
  </sheetData>
  <phoneticPr fontId="1"/>
  <conditionalFormatting sqref="H9:H18">
    <cfRule type="colorScale" priority="1">
      <colorScale>
        <cfvo type="min"/>
        <cfvo type="percentile" val="50"/>
        <cfvo type="max"/>
        <color rgb="FFFFE8B3"/>
        <color rgb="FF95D5B2"/>
        <color rgb="FF1B4332"/>
      </colorScale>
    </cfRule>
  </conditionalFormatting>
  <conditionalFormatting sqref="E9:E18">
    <cfRule type="dataBar" priority="2">
      <dataBar>
        <cfvo type="min"/>
        <cfvo type="max"/>
        <color rgb="FFB08968"/>
      </dataBar>
      <extLst>
        <ext xmlns:x14="http://schemas.microsoft.com/office/spreadsheetml/2009/9/main" uri="{B025F937-C7B1-47D3-B67F-A62EFF666E3E}">
          <x14:id>{59CB4C59-46F0-434E-89D8-AB3886BCC65F}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CB4C59-46F0-434E-89D8-AB3886BCC65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E9:E18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Yuki Yokotani</dc:creator>
  <cp:keywords/>
  <dc:description/>
  <cp:lastModifiedBy/>
  <cp:revision/>
  <dcterms:created xsi:type="dcterms:W3CDTF">2026-04-19T12:47:32Z</dcterms:created>
  <dcterms:modified xsi:type="dcterms:W3CDTF">2026-04-19T14:51:14Z</dcterms:modified>
  <cp:category/>
  <cp:contentStatus/>
</cp:coreProperties>
</file>
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Id1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Id6"/>
    <x:sheet xmlns:r="http://schemas.openxmlformats.org/officeDocument/2006/relationships" name="Values" sheetId="2" r:id="rId7"/>
    <x:sheet xmlns:r="http://schemas.openxmlformats.org/officeDocument/2006/relationships" name="Formats" sheetId="3" r:id="rId8"/>
    <x:sheet xmlns:r="http://schemas.openxmlformats.org/officeDocument/2006/relationships" name="Layout" sheetId="4" r:id="rId9"/>
    <x:sheet xmlns:r="http://schemas.openxmlformats.org/officeDocument/2006/relationships" name="Tables &amp; Formulas" sheetId="5" r:id="rId10"/>
    <x:sheet xmlns:r="http://schemas.openxmlformats.org/officeDocument/2006/relationships" name="Rules" sheetId="6" r:id="rId11"/>
    <x:sheet xmlns:r="http://schemas.openxmlformats.org/officeDocument/2006/relationships" name="Charts" sheetId="7" r:id="rId12"/>
    <x:sheet xmlns:r="http://schemas.openxmlformats.org/officeDocument/2006/relationships" name="RTL View" sheetId="8" r:id="rId13"/>
    <x:sheet xmlns:r="http://schemas.openxmlformats.org/officeDocument/2006/relationships" name="Hidden Data" sheetId="9" r:id="rId14" state="veryHidden"/>
  </x:sheets>
</x:workbook>
</file>

<file path=xl/comments1.xml><?xml version="1.0" encoding="utf-8"?>
<x:comments xmlns:x="http://schemas.openxmlformats.org/spreadsheetml/2006/main">
  <x:authors>
    <x:author>tc={00000000-0000-4000-8000-000000000001}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X-META-001 threaded comment with a stable synthetic author.
Reply:
    Reply text remains attached to the same cell.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#,##0"/>
    <x:numFmt numFmtId="201" formatCode="0.00;[Red]-0.00;0.00"/>
    <x:numFmt numFmtId="202" formatCode="0.0%"/>
    <x:numFmt numFmtId="203" formatCode="0.000E+00"/>
    <x:numFmt numFmtId="204" formatCode="# ?/?"/>
    <x:numFmt numFmtId="205" formatCode="$#,##0.00"/>
    <x:numFmt numFmtId="206" formatCode="$* #,##0.00;[Red]$* -#,##0.00;$* &quot;-&quot;??"/>
    <x:numFmt numFmtId="207" formatCode="yyyy-mm-dd"/>
    <x:numFmt numFmtId="208" formatCode="yyyy-mm-dd hh:mm:ss"/>
    <x:numFmt numFmtId="209" formatCode="hh:mm:ss"/>
    <x:numFmt numFmtId="210" formatCode="[h]:mm"/>
    <x:numFmt numFmtId="211" formatCode="&quot;ID-&quot;0000"/>
    <x:numFmt numFmtId="212" formatCode="0"/>
    <x:numFmt numFmtId="213" formatCode="$#,##0.000"/>
    <x:numFmt numFmtId="214" formatCode="$#,##0.00;[Red]-$#,##0.00;$0.00"/>
    <x:numFmt numFmtId="215" formatCode="0.00"/>
    <x:numFmt numFmtId="216" formatCode="0%"/>
    <x:numFmt numFmtId="217" formatCode="$#,##0;[Red]-$#,##0;$0"/>
  </x:numFmts>
  <x:fonts count="8">
    <x:font>
      <x:sz val="11"/>
      <x:name val="Carlito"/>
    </x:font>
    <x:font>
      <x:b/>
      <x:sz val="18"/>
      <x:color rgb="FFFFFFFF"/>
      <x:name val="Arial"/>
    </x:font>
    <x:font>
      <x:sz val="12"/>
      <x:color rgb="FF5D6B78"/>
      <x:name val="Arial"/>
    </x:font>
    <x:font>
      <x:b/>
      <x:sz val="11"/>
      <x:color rgb="FF17324D"/>
      <x:name val="Arial"/>
    </x:font>
    <x:font>
      <x:sz val="10"/>
      <x:color rgb="FF1F2933"/>
      <x:name val="Arial"/>
    </x:font>
    <x:font>
      <x:i/>
      <x:sz val="11"/>
      <x:color rgb="FF17324D"/>
      <x:name val="Arial"/>
    </x:font>
    <x:font>
      <x:b/>
      <x:sz val="13"/>
      <x:color rgb="FF17324D"/>
      <x:name val="Arial"/>
    </x:font>
    <x:font>
      <x:i/>
      <x:sz val="11"/>
      <x:color rgb="FF5D6B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0E8"/>
      </x:patternFill>
    </x:fill>
    <x:fill>
      <x:patternFill patternType="solid">
        <x:fgColor rgb="FFF7F9FA"/>
      </x:patternFill>
    </x:fill>
  </x:fills>
  <x:borders count="17">
    <x:border/>
    <x:border>
      <x:bottom style="thin">
        <x:color rgb="FFCAD3DA"/>
      </x:bottom>
    </x:border>
    <x:border>
      <x:bottom style="thin">
        <x:color rgb="FFE5EAEE"/>
      </x:bottom>
    </x:border>
    <x:border>
      <x:top style="thin">
        <x:color rgb="FFE5EAEE"/>
      </x:top>
      <x:bottom style="thin">
        <x:color rgb="FFE5EAEE"/>
      </x:bottom>
    </x:border>
    <x:border>
      <x:top style="thin">
        <x:color rgb="FFE5EAEE"/>
      </x:top>
      <x:bottom style="thin">
        <x:color rgb="FFCAD3DA"/>
      </x:bottom>
    </x:border>
    <x:border>
      <x:left style="thin">
        <x:color rgb="FFCAD3DA"/>
      </x:left>
      <x:top style="thin">
        <x:color rgb="FFCAD3DA"/>
      </x:top>
    </x:border>
    <x:border>
      <x:top style="thin">
        <x:color rgb="FFCAD3DA"/>
      </x:top>
    </x:border>
    <x:border>
      <x:right style="thin">
        <x:color rgb="FFCAD3DA"/>
      </x:right>
      <x:top style="thin">
        <x:color rgb="FFCAD3DA"/>
      </x:top>
    </x:border>
    <x:border>
      <x:left style="thin">
        <x:color rgb="FFCAD3DA"/>
      </x:left>
      <x:bottom style="thin">
        <x:color rgb="FFCAD3DA"/>
      </x:bottom>
    </x:border>
    <x:border>
      <x:right style="thin">
        <x:color rgb="FFCAD3DA"/>
      </x:right>
      <x:bottom style="thin">
        <x:color rgb="FFCAD3DA"/>
      </x:bottom>
    </x:border>
    <x:border>
      <x:left style="medium">
        <x:color rgb="FF2A7F8E"/>
      </x:left>
      <x:top style="medium">
        <x:color rgb="FF2A7F8E"/>
      </x:top>
    </x:border>
    <x:border>
      <x:top style="medium">
        <x:color rgb="FF2A7F8E"/>
      </x:top>
    </x:border>
    <x:border>
      <x:right style="medium">
        <x:color rgb="FF2A7F8E"/>
      </x:right>
      <x:top style="medium">
        <x:color rgb="FF2A7F8E"/>
      </x:top>
    </x:border>
    <x:border>
      <x:left style="medium">
        <x:color rgb="FF2A7F8E"/>
      </x:left>
      <x:bottom style="medium">
        <x:color rgb="FF2A7F8E"/>
      </x:bottom>
    </x:border>
    <x:border>
      <x:bottom style="medium">
        <x:color rgb="FF2A7F8E"/>
      </x:bottom>
    </x:border>
    <x:border>
      <x:right style="medium">
        <x:color rgb="FF2A7F8E"/>
      </x:right>
      <x:bottom style="medium">
        <x:color rgb="FF2A7F8E"/>
      </x:bottom>
    </x:border>
    <x:border>
      <x:left style="thin">
        <x:color rgb="FFE5EAEE"/>
      </x:left>
      <x:right style="thin">
        <x:color rgb="FFE5EAEE"/>
      </x:right>
      <x:top style="thin">
        <x:color rgb="FFE5EAEE"/>
      </x:top>
      <x:bottom style="thin">
        <x:color rgb="FFE5EAEE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1" xfId="0" applyNumberFormat="1" applyFont="1" applyFill="1" applyBorder="1"/>
    <x:xf numFmtId="0" fontId="5" fillId="4" borderId="9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0" fillId="0" borderId="0" xfId="0">
      <x:extLst>
        <x:ext uri="{00000000-0000-4000-8000-000000000004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00000000-0000-4000-8000-000000000004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00000000-0000-4000-8000-000000000004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  <x:extLst>
        <x:ext uri="{00000000-0000-4000-8000-000000000004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  <x:extLst>
        <x:ext uri="{00000000-0000-4000-8000-000000000004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209" fontId="4" fillId="0" borderId="0" xfId="0" applyNumberFormat="1" applyFont="1" applyFill="1" applyBorder="1" applyAlignment="1">
      <x:alignment vertical="center"/>
    </x:xf>
    <x:xf numFmtId="210" fontId="4" fillId="0" borderId="0" xfId="0" applyNumberFormat="1" applyFont="1" applyFill="1" applyBorder="1" applyAlignment="1">
      <x:alignment vertical="center"/>
    </x:xf>
    <x:xf numFmtId="211" fontId="4" fillId="0" borderId="0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208" fontId="4" fillId="0" borderId="3" xfId="0" applyNumberFormat="1" applyFont="1" applyFill="1" applyBorder="1" applyAlignment="1">
      <x:alignment vertical="center"/>
    </x:xf>
    <x:xf numFmtId="209" fontId="4" fillId="0" borderId="3" xfId="0" applyNumberFormat="1" applyFont="1" applyFill="1" applyBorder="1" applyAlignment="1">
      <x:alignment vertical="center"/>
    </x:xf>
    <x:xf numFmtId="210" fontId="4" fillId="0" borderId="3" xfId="0" applyNumberFormat="1" applyFont="1" applyFill="1" applyBorder="1" applyAlignment="1">
      <x:alignment vertical="center"/>
    </x:xf>
    <x:xf numFmtId="211" fontId="4" fillId="0" borderId="4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3" borderId="14" xfId="0" applyNumberFormat="1" applyFont="1" applyFill="1" applyBorder="1"/>
    <x:xf numFmtId="0" fontId="6" fillId="3" borderId="15" xfId="0" applyNumberFormat="1" applyFont="1" applyFill="1" applyBorder="1"/>
    <x:xf numFmtId="0" fontId="6" fillId="3" borderId="10" xfId="0" applyNumberFormat="1" applyFont="1" applyFill="1" applyBorder="1" applyAlignment="1">
      <x:alignment horizontal="center"/>
    </x:xf>
    <x:xf numFmtId="0" fontId="6" fillId="3" borderId="11" xfId="0" applyNumberFormat="1" applyFont="1" applyFill="1" applyBorder="1" applyAlignment="1">
      <x:alignment horizontal="center"/>
    </x:xf>
    <x:xf numFmtId="0" fontId="6" fillId="3" borderId="12" xfId="0" applyNumberFormat="1" applyFont="1" applyFill="1" applyBorder="1" applyAlignment="1">
      <x:alignment horizontal="center"/>
    </x:xf>
    <x:xf numFmtId="0" fontId="6" fillId="3" borderId="13" xfId="0" applyNumberFormat="1" applyFont="1" applyFill="1" applyBorder="1" applyAlignment="1">
      <x:alignment horizontal="center"/>
    </x:xf>
    <x:xf numFmtId="0" fontId="6" fillId="3" borderId="14" xfId="0" applyNumberFormat="1" applyFont="1" applyFill="1" applyBorder="1" applyAlignment="1">
      <x:alignment horizontal="center"/>
    </x:xf>
    <x:xf numFmtId="0" fontId="6" fillId="3" borderId="15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6" fillId="3" borderId="11" xfId="0" applyNumberFormat="1" applyFont="1" applyFill="1" applyBorder="1" applyAlignment="1">
      <x:alignment horizontal="center" vertic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13" xfId="0" applyNumberFormat="1" applyFont="1" applyFill="1" applyBorder="1" applyAlignment="1">
      <x:alignment horizontal="center" vertical="center"/>
    </x:xf>
    <x:xf numFmtId="0" fontId="6" fillId="3" borderId="14" xfId="0" applyNumberFormat="1" applyFont="1" applyFill="1" applyBorder="1" applyAlignment="1">
      <x:alignment horizontal="center" vertical="center"/>
    </x:xf>
    <x:xf numFmtId="0" fontId="6" fillId="3" borderId="15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1" xfId="0" applyNumberFormat="1" applyFont="1" applyFill="1" applyBorder="1"/>
    <x:xf numFmtId="0" fontId="7" fillId="4" borderId="9" xfId="0" applyNumberFormat="1" applyFont="1" applyFill="1" applyBorder="1"/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/>
    <x:xf numFmtId="213" fontId="0" fillId="0" borderId="0" xfId="0" applyNumberFormat="1" applyFont="1" applyFill="1" applyBorder="1"/>
    <x:xf numFmtId="202" fontId="0" fillId="0" borderId="0" xfId="0" applyNumberFormat="1" applyFont="1" applyFill="1" applyBorder="1"/>
    <x:xf numFmtId="214" fontId="0" fillId="0" borderId="0" xfId="0" applyNumberFormat="1" applyFont="1" applyFill="1" applyBorder="1"/>
    <x:xf numFmtId="215" fontId="4" fillId="0" borderId="0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212" fontId="0" fillId="0" borderId="16" xfId="0" applyNumberFormat="1" applyFont="1" applyFill="1" applyBorder="1"/>
    <x:xf numFmtId="213" fontId="0" fillId="0" borderId="16" xfId="0" applyNumberFormat="1" applyFont="1" applyFill="1" applyBorder="1"/>
    <x:xf numFmtId="202" fontId="0" fillId="0" borderId="16" xfId="0" applyNumberFormat="1" applyFont="1" applyFill="1" applyBorder="1"/>
    <x:xf numFmtId="214" fontId="0" fillId="0" borderId="16" xfId="0" applyNumberFormat="1" applyFont="1" applyFill="1" applyBorder="1"/>
    <x:xf numFmtId="216" fontId="4" fillId="0" borderId="0" xfId="0" applyNumberFormat="1" applyFont="1" applyFill="1" applyBorder="1" applyAlignment="1">
      <x:alignment vertical="center"/>
    </x:xf>
    <x:xf numFmtId="216" fontId="4" fillId="0" borderId="3" xfId="0" applyNumberFormat="1" applyFont="1" applyFill="1" applyBorder="1" applyAlignment="1">
      <x:alignment vertical="center"/>
    </x:xf>
    <x:xf numFmtId="216" fontId="4" fillId="0" borderId="4" xfId="0" applyNumberFormat="1" applyFont="1" applyFill="1" applyBorder="1" applyAlignment="1">
      <x:alignment vertical="center"/>
    </x:xf>
    <x:xf numFmtId="207" fontId="4" fillId="0" borderId="4" xfId="0" applyNumberFormat="1" applyFont="1" applyFill="1" applyBorder="1" applyAlignment="1">
      <x:alignment vertical="center"/>
    </x:xf>
    <x:xf numFmtId="217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B44A3A"/>
      </x:font>
      <x:fill>
        <x:patternFill patternType="solid">
          <x:bgColor rgb="FFFDEDEC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microsoft.com/office/2017/10/relationships/person" Target="/xl/persons/person.xml" Id="rId1"/><Relationship Type="http://schemas.microsoft.com/office/2022/11/relationships/FeaturePropertyBag" Target="/xl/featurePropertyBag/featurePropertyBag.xml" Id="rId2"/><Relationship Type="http://schemas.openxmlformats.org/officeDocument/2006/relationships/sharedStrings" Target="/xl/sharedStrings.xml" Id="rId3"/><Relationship Type="http://schemas.openxmlformats.org/officeDocument/2006/relationships/styles" Target="/xl/styles.xml" Id="rId4"/><Relationship Type="http://schemas.openxmlformats.org/officeDocument/2006/relationships/theme" Target="/xl/theme/theme1.xml" Id="rId5"/><Relationship Type="http://schemas.openxmlformats.org/officeDocument/2006/relationships/worksheet" Target="/xl/worksheets/sheet1.xml" Id="rId6"/><Relationship Type="http://schemas.openxmlformats.org/officeDocument/2006/relationships/worksheet" Target="/xl/worksheets/sheet2.xml" Id="rId7"/><Relationship Type="http://schemas.openxmlformats.org/officeDocument/2006/relationships/worksheet" Target="/xl/worksheets/sheet3.xml" Id="rId8"/><Relationship Type="http://schemas.openxmlformats.org/officeDocument/2006/relationships/worksheet" Target="/xl/worksheets/sheet4.xml" Id="rId9"/><Relationship Type="http://schemas.openxmlformats.org/officeDocument/2006/relationships/worksheet" Target="/xl/worksheets/sheet5.xml" Id="rId10"/><Relationship Type="http://schemas.openxmlformats.org/officeDocument/2006/relationships/worksheet" Target="/xl/worksheets/sheet6.xml" Id="rId11"/><Relationship Type="http://schemas.openxmlformats.org/officeDocument/2006/relationships/worksheet" Target="/xl/worksheets/sheet7.xml" Id="rId12"/><Relationship Type="http://schemas.openxmlformats.org/officeDocument/2006/relationships/worksheet" Target="/xl/worksheets/sheet8.xml" Id="rId13"/><Relationship Type="http://schemas.openxmlformats.org/officeDocument/2006/relationships/worksheet" Target="/xl/worksheets/sheet9.xml" Id="rId14"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chart" Target="/xl/drawings/charts/chart1.xml" Id="rId1"/><Relationship Type="http://schemas.openxmlformats.org/officeDocument/2006/relationships/chart" Target="/xl/drawings/charts/chart2.xml" Id="rId2"/><Relationship Type="http://schemas.openxmlformats.org/officeDocument/2006/relationships/image" Target="/xl/media/image.png" Id="rId3"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Revenue and cost include a zero month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'Charts'!$A$5:$A$10</c:f>
              <c:strCache>
                <c:ptCount val="0"/>
              </c:strCache>
            </c:strRef>
          </c:cat>
          <c:val>
            <c:numRef>
              <c:f>'Charts'!$B$5:$B$10</c:f>
              <c:numCache>
                <c:formatCode>$#,##0;[Red]-$#,##0;$0</c:formatCode>
                <c:ptCount val="0"/>
              </c:numCache>
            </c:numRef>
          </c:val>
        </c:ser>
        <c:ser>
          <c:idx val="1"/>
          <c:order val="1"/>
          <c:tx>
            <c:v>Cost</c:v>
          </c:tx>
          <c:marker>
            <c:symbol val="none"/>
          </c:marker>
          <c:cat>
            <c:strRef>
              <c:f>'Charts'!$A$5:$A$10</c:f>
              <c:strCache>
                <c:ptCount val="0"/>
              </c:strCache>
            </c:strRef>
          </c:cat>
          <c:val>
            <c:numRef>
              <c:f>'Charts'!$C$5:$C$10</c:f>
              <c:numCache>
                <c:formatCode>$#,##0;[Red]-$#,##0;$0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Revenue by month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'Charts'!$A$5:$A$10</c:f>
              <c:strCache>
                <c:ptCount val="0"/>
              </c:strCache>
            </c:strRef>
          </c:cat>
          <c:val>
            <c:numRef>
              <c:f>'Charts'!$B$5:$B$10</c:f>
              <c:numCache>
                <c:formatCode>$#,##0;[Red]-$#,##0;$0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oneCellAnchor>
    <xdr:from>
      <xdr:col>9</xdr:col>
      <xdr:colOff>0</xdr:colOff>
      <xdr:row>12</xdr:row>
      <xdr:rowOff>0</xdr:rowOff>
    </xdr:from>
    <xdr:ext cx="1714500" cy="1714500"/>
    <xdr:pic>
      <xdr:nvPicPr>
        <xdr:cNvPr id="3" name="00000000-0000-4000-8000-0000000000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OOXML Corpus" id="{00000000-0000-4000-8000-000000000003}"/>
</xltc:personList>
</file>

<file path=xl/tables/table1.xml><?xml version="1.0" encoding="utf-8"?>
<x:table xmlns:x="http://schemas.openxmlformats.org/spreadsheetml/2006/main" id="1" name="EdgeCaseOrders" displayName="EdgeCaseOrders" ref="A4:H10" headerRowCount="1" totalsRowCount="0" totalsRowShown="0">
  <x:tableColumns count="8">
    <x:tableColumn id="1" name="ID"/>
    <x:tableColumn id="2" name="Description"/>
    <x:tableColumn id="3" name="Qty"/>
    <x:tableColumn id="4" name="Unit price"/>
    <x:tableColumn id="5" name="Discount"/>
    <x:tableColumn id="6" name="Gross"/>
    <x:tableColumn id="7" name="Net"/>
    <x:tableColumn id="8" name="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5" dT="2026-01-01T00:00:01" personId="{00000000-0000-4000-8000-000000000003}" id="{00000000-0000-4000-8000-000000000001}">
    <xltc:text>X-META-001 threaded comment with a stable synthetic author.</xltc:text>
  </xltc:threadedComment>
  <xltc:threadedComment ref="J5" dT="2026-01-01T00:00:02" personId="{00000000-0000-4000-8000-000000000003}" id="{00000000-0000-4000-8000-000000000005}" parentId="{00000000-0000-4000-8000-000000000001}">
    <xltc:text>Reply text remains attached to the same cell.</xltc:text>
  </xltc:threadedComment>
</xltc:ThreadedComment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?xml version='1.0' encoding='UTF-8' standalone='yes'?>
<Relationships xmlns="http://schemas.openxmlformats.org/package/2006/relationships"><Relationship Type="http://schemas.microsoft.com/office/2017/10/relationships/threadedComment" Target="/xl/threadedcomments/threadedcomment.xml" Id="rId1"/><Relationship Type="http://schemas.openxmlformats.org/officeDocument/2006/relationships/comments" Target="/xl/comments1.xml" Id="rId2"/><Relationship Type="http://schemas.openxmlformats.org/officeDocument/2006/relationships/vmlDrawing" Target="/xl/drawings/vmldrawing.vml" Id="rId3"/></Relationships>
</file>

<file path=xl/worksheets/_rels/sheet7.xml.rels><?xml version='1.0' encoding='UTF-8' standalone='yes'?>
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4" hidden="0" customWidth="1"/>
    <x:col min="4" max="4" width="42" hidden="0" customWidth="1"/>
  </x:cols>
  <x:sheetData>
    <x:row r="1" ht="32" customHeight="1">
      <x:c r="A1" s="4" t="str">
        <x:v>OOXML Edge Case Field Guide — XLSX</x:v>
      </x:c>
      <x:c r="B1" s="4"/>
      <x:c r="C1" s="4"/>
      <x:c r="D1" s="4"/>
      <x:c r="E1" s="4"/>
      <x:c r="F1" s="4"/>
      <x:c r="G1" s="4"/>
      <x:c r="H1" s="4"/>
    </x:row>
    <x:row r="2" ht="32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Synthetic, redistributable workbook for value, format, layout, rule, drawing, and chart boundaries.</x:v>
      </x:c>
      <x:c r="B4" s="7"/>
      <x:c r="C4" s="7"/>
      <x:c r="D4" s="7"/>
      <x:c r="E4" s="7"/>
      <x:c r="F4" s="7"/>
      <x:c r="G4" s="7"/>
      <x:c r="H4" s="7"/>
    </x:row>
    <x:row r="6" ht="26" customHeight="1">
      <x:c r="A6" s="16" t="str">
        <x:v>Sheet</x:v>
      </x:c>
      <x:c r="B6" s="16" t="str">
        <x:v>Case group</x:v>
      </x:c>
      <x:c r="C6" s="16" t="str">
        <x:v>Primary boundary</x:v>
      </x:c>
      <x:c r="D6" s="16" t="str">
        <x:v>Expected invariant</x:v>
      </x:c>
    </x:row>
    <x:row r="7">
      <x:c r="A7" s="17" t="str">
        <x:v>Values</x:v>
      </x:c>
      <x:c r="B7" s="17" t="str">
        <x:v>X-VALUE-001</x:v>
      </x:c>
      <x:c r="C7" s="17" t="str">
        <x:v>Typed values, blanks, Unicode</x:v>
      </x:c>
      <x:c r="D7" s="17" t="str">
        <x:v>Type and visible text remain distinct</x:v>
      </x:c>
    </x:row>
    <x:row r="8">
      <x:c r="A8" s="17" t="str">
        <x:v>Formats</x:v>
      </x:c>
      <x:c r="B8" s="17" t="str">
        <x:v>X-NFMT-001</x:v>
      </x:c>
      <x:c r="C8" s="17" t="str">
        <x:v>Number/date/custom formats</x:v>
      </x:c>
      <x:c r="D8" s="17" t="str">
        <x:v>Stored value remains numeric</x:v>
      </x:c>
    </x:row>
    <x:row r="9">
      <x:c r="A9" s="17" t="str">
        <x:v>Layout</x:v>
      </x:c>
      <x:c r="B9" s="17" t="str">
        <x:v>X-GEOM-001</x:v>
      </x:c>
      <x:c r="C9" s="17" t="str">
        <x:v>Merge, wrap, sizing, freeze</x:v>
      </x:c>
      <x:c r="D9" s="17" t="str">
        <x:v>Geometry is stable and readable</x:v>
      </x:c>
    </x:row>
    <x:row r="10">
      <x:c r="A10" s="17" t="str">
        <x:v>Tables &amp; Formulas</x:v>
      </x:c>
      <x:c r="B10" s="17" t="str">
        <x:v>X-FORMULA-001</x:v>
      </x:c>
      <x:c r="C10" s="17" t="str">
        <x:v>Cross-sheet and mixed references</x:v>
      </x:c>
      <x:c r="D10" s="17" t="str">
        <x:v>Cached results are correct</x:v>
      </x:c>
    </x:row>
    <x:row r="11">
      <x:c r="A11" s="17" t="str">
        <x:v>Rules</x:v>
      </x:c>
      <x:c r="B11" s="17" t="str">
        <x:v>X-CF-001</x:v>
      </x:c>
      <x:c r="C11" s="17" t="str">
        <x:v>Conditional formatting and validation</x:v>
      </x:c>
      <x:c r="D11" s="17" t="str">
        <x:v>Rules react to editable values</x:v>
      </x:c>
    </x:row>
    <x:row r="12">
      <x:c r="A12" s="17" t="str">
        <x:v>Charts</x:v>
      </x:c>
      <x:c r="B12" s="17" t="str">
        <x:v>X-CHART-001</x:v>
      </x:c>
      <x:c r="C12" s="17" t="str">
        <x:v>Charts, sparkline, image</x:v>
      </x:c>
      <x:c r="D12" s="17" t="str">
        <x:v>Source ranges remain traceable</x:v>
      </x:c>
    </x:row>
    <x:row r="13">
      <x:c r="A13" s="17" t="str">
        <x:v>RTL View</x:v>
      </x:c>
      <x:c r="B13" s="17" t="str">
        <x:v>X-VIEW-001</x:v>
      </x:c>
      <x:c r="C13" s="17" t="str">
        <x:v>Right-to-left sheet</x:v>
      </x:c>
      <x:c r="D13" s="17" t="str">
        <x:v>Grid and anchors mirror once</x:v>
      </x:c>
    </x:row>
    <x:row r="14">
      <x:c r="A14" s="18" t="str">
        <x:v>Hidden Data</x:v>
      </x:c>
      <x:c r="B14" s="18" t="str">
        <x:v>X-VIEW-002</x:v>
      </x:c>
      <x:c r="C14" s="18" t="str">
        <x:v>Very hidden sheet</x:v>
      </x:c>
      <x:c r="D14" s="18" t="str">
        <x:v>Workbook model retains the sheet</x:v>
      </x:c>
    </x:row>
    <x:row r="16">
      <x:c r="A16" s="33" t="str">
        <x:v>Case IDs are durable. Sheet order is not. Private documents are diagnostic aids only.</x:v>
      </x:c>
      <x:c r="B16" s="34"/>
      <x:c r="C16" s="34"/>
      <x:c r="D16" s="34"/>
      <x:c r="E16" s="34"/>
      <x:c r="F16" s="34"/>
      <x:c r="G16" s="34"/>
      <x:c r="H16" s="35"/>
    </x:row>
    <x:row r="17">
      <x:c r="A17" s="36"/>
      <x:c r="B17" s="37"/>
      <x:c r="C17" s="37"/>
      <x:c r="D17" s="37"/>
      <x:c r="E17" s="37"/>
      <x:c r="F17" s="37"/>
      <x:c r="G17" s="37"/>
      <x:c r="H17" s="38"/>
    </x:row>
  </x:sheetData>
  <x:mergeCells>
    <x:mergeCell ref="A1:H2"/>
    <x:mergeCell ref="A4:H4"/>
    <x:mergeCell ref="A16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A7F8E"/>
  </x:sheetPr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14" hidden="0" customWidth="1"/>
    <x:col min="5" max="5" width="30" hidden="0" customWidth="1"/>
    <x:col min="6" max="6" width="18" hidden="0" customWidth="1"/>
    <x:col min="7" max="7" width="28" hidden="0" customWidth="1"/>
  </x:cols>
  <x:sheetData>
    <x:row r="1" ht="32" customHeight="1">
      <x:c r="A1" s="4" t="str">
        <x:v>X-VALUE-001  ·  Typed values and Unicode boundaries</x:v>
      </x:c>
      <x:c r="B1" s="4"/>
      <x:c r="C1" s="4"/>
      <x:c r="D1" s="4"/>
      <x:c r="E1" s="4"/>
      <x:c r="F1" s="4"/>
      <x:c r="G1" s="4"/>
    </x:row>
    <x:row r="2" ht="32" customHeight="1">
      <x:c r="A2" s="4"/>
      <x:c r="B2" s="4"/>
      <x:c r="C2" s="4"/>
      <x:c r="D2" s="4"/>
      <x:c r="E2" s="4"/>
      <x:c r="F2" s="4"/>
      <x:c r="G2" s="4"/>
    </x:row>
    <x:row r="4" ht="26" customHeight="1">
      <x:c r="A4" s="16" t="str">
        <x:v>Case</x:v>
      </x:c>
      <x:c r="B4" s="16" t="str">
        <x:v>Label</x:v>
      </x:c>
      <x:c r="C4" s="16" t="str">
        <x:v>Stored value</x:v>
      </x:c>
      <x:c r="D4" s="16" t="str">
        <x:v>Type</x:v>
      </x:c>
      <x:c r="E4" s="16" t="str">
        <x:v>Expected display</x:v>
      </x:c>
      <x:c r="F4" s="16" t="str">
        <x:v>Boundary</x:v>
      </x:c>
      <x:c r="G4" s="16" t="str">
        <x:v>Notes</x:v>
      </x:c>
    </x:row>
    <x:row r="5">
      <x:c r="A5" s="17" t="str">
        <x:v>V-01</x:v>
      </x:c>
      <x:c r="B5" s="17" t="str">
        <x:v>Empty cell</x:v>
      </x:c>
      <x:c r="C5" s="44"/>
      <x:c r="D5" s="17" t="str">
        <x:v>blank</x:v>
      </x:c>
      <x:c r="E5" s="44" t="str">
        <x:v>(empty)</x:v>
      </x:c>
      <x:c r="F5" s="17" t="str">
        <x:v>null</x:v>
      </x:c>
      <x:c r="G5" s="44" t="str">
        <x:v>No shared-string entry</x:v>
      </x:c>
    </x:row>
    <x:row r="6">
      <x:c r="A6" s="17" t="str">
        <x:v>V-02</x:v>
      </x:c>
      <x:c r="B6" s="17" t="str">
        <x:v>Empty string</x:v>
      </x:c>
      <x:c r="C6" s="44" t="str"/>
      <x:c r="D6" s="17" t="str">
        <x:v>text</x:v>
      </x:c>
      <x:c r="E6" s="44" t="str">
        <x:v>(empty string)</x:v>
      </x:c>
      <x:c r="F6" s="17" t="str">
        <x:v>length 0</x:v>
      </x:c>
      <x:c r="G6" s="44" t="str">
        <x:v>Text cell remains present</x:v>
      </x:c>
    </x:row>
    <x:row r="7">
      <x:c r="A7" s="17" t="str">
        <x:v>V-03</x:v>
      </x:c>
      <x:c r="B7" s="17" t="str">
        <x:v>Zero</x:v>
      </x:c>
      <x:c r="C7" s="44" t="n">
        <x:v>0</x:v>
      </x:c>
      <x:c r="D7" s="17" t="str">
        <x:v>number</x:v>
      </x:c>
      <x:c r="E7" s="44" t="str">
        <x:v>0</x:v>
      </x:c>
      <x:c r="F7" s="17" t="str">
        <x:v>exact zero</x:v>
      </x:c>
      <x:c r="G7" s="44" t="str">
        <x:v>Must not be treated as blank</x:v>
      </x:c>
    </x:row>
    <x:row r="8">
      <x:c r="A8" s="17" t="str">
        <x:v>V-04</x:v>
      </x:c>
      <x:c r="B8" s="17" t="str">
        <x:v>Negative zero text</x:v>
      </x:c>
      <x:c r="C8" s="44" t="str">
        <x:v>-0</x:v>
      </x:c>
      <x:c r="D8" s="17" t="str">
        <x:v>text</x:v>
      </x:c>
      <x:c r="E8" s="44" t="str">
        <x:v>-0</x:v>
      </x:c>
      <x:c r="F8" s="17" t="str">
        <x:v>lexical</x:v>
      </x:c>
      <x:c r="G8" s="44" t="str">
        <x:v>Distinct from numeric zero</x:v>
      </x:c>
    </x:row>
    <x:row r="9">
      <x:c r="A9" s="17" t="str">
        <x:v>V-05</x:v>
      </x:c>
      <x:c r="B9" s="17" t="str">
        <x:v>Negative decimal</x:v>
      </x:c>
      <x:c r="C9" s="44" t="n">
        <x:v>-12.5</x:v>
      </x:c>
      <x:c r="D9" s="17" t="str">
        <x:v>number</x:v>
      </x:c>
      <x:c r="E9" s="44" t="str">
        <x:v>-12.5</x:v>
      </x:c>
      <x:c r="F9" s="17" t="str">
        <x:v>sign</x:v>
      </x:c>
      <x:c r="G9" s="44" t="str">
        <x:v>Numeric value</x:v>
      </x:c>
    </x:row>
    <x:row r="10">
      <x:c r="A10" s="17" t="str">
        <x:v>V-06</x:v>
      </x:c>
      <x:c r="B10" s="17" t="str">
        <x:v>Large integer</x:v>
      </x:c>
      <x:c r="C10" s="44" t="n">
        <x:v>9007199254740991</x:v>
      </x:c>
      <x:c r="D10" s="17" t="str">
        <x:v>number</x:v>
      </x:c>
      <x:c r="E10" s="44" t="str">
        <x:v>9007199254740991</x:v>
      </x:c>
      <x:c r="F10" s="17" t="str">
        <x:v>JS safe max</x:v>
      </x:c>
      <x:c r="G10" s="44" t="str">
        <x:v>No exponential display here</x:v>
      </x:c>
    </x:row>
    <x:row r="11">
      <x:c r="A11" s="17" t="str">
        <x:v>V-07</x:v>
      </x:c>
      <x:c r="B11" s="17" t="str">
        <x:v>Small decimal</x:v>
      </x:c>
      <x:c r="C11" s="44" t="n">
        <x:v>1.234e-7</x:v>
      </x:c>
      <x:c r="D11" s="17" t="str">
        <x:v>number</x:v>
      </x:c>
      <x:c r="E11" s="44" t="str">
        <x:v>1.234E-7</x:v>
      </x:c>
      <x:c r="F11" s="17" t="str">
        <x:v>scientific</x:v>
      </x:c>
      <x:c r="G11" s="44" t="str">
        <x:v>Stored numeric</x:v>
      </x:c>
    </x:row>
    <x:row r="12">
      <x:c r="A12" s="17" t="str">
        <x:v>V-08</x:v>
      </x:c>
      <x:c r="B12" s="17" t="str">
        <x:v>Boolean true</x:v>
      </x:c>
      <x:c r="C12" s="45" t="b">
        <x:v>1</x:v>
      </x:c>
      <x:c r="D12" s="17" t="str">
        <x:v>boolean</x:v>
      </x:c>
      <x:c r="E12" s="44" t="str">
        <x:v>TRUE</x:v>
      </x:c>
      <x:c r="F12" s="17" t="str">
        <x:v>boolean</x:v>
      </x:c>
      <x:c r="G12" s="44" t="str">
        <x:v>Not string TRUE</x:v>
      </x:c>
    </x:row>
    <x:row r="13">
      <x:c r="A13" s="17" t="str">
        <x:v>V-09</x:v>
      </x:c>
      <x:c r="B13" s="17" t="str">
        <x:v>Boolean false</x:v>
      </x:c>
      <x:c r="C13" s="45" t="b">
        <x:v>0</x:v>
      </x:c>
      <x:c r="D13" s="17" t="str">
        <x:v>boolean</x:v>
      </x:c>
      <x:c r="E13" s="44" t="str">
        <x:v>FALSE</x:v>
      </x:c>
      <x:c r="F13" s="17" t="str">
        <x:v>falsey</x:v>
      </x:c>
      <x:c r="G13" s="44" t="str">
        <x:v>Must remain visible</x:v>
      </x:c>
    </x:row>
    <x:row r="14">
      <x:c r="A14" s="17" t="str">
        <x:v>V-10</x:v>
      </x:c>
      <x:c r="B14" s="17" t="str">
        <x:v>CJK</x:v>
      </x:c>
      <x:c r="C14" s="44" t="str">
        <x:v>日本語「禁則」　全角空白</x:v>
      </x:c>
      <x:c r="D14" s="17" t="str">
        <x:v>text</x:v>
      </x:c>
      <x:c r="E14" s="44" t="str">
        <x:v>日本語「禁則」　全角空白</x:v>
      </x:c>
      <x:c r="F14" s="17" t="str">
        <x:v>East Asian</x:v>
      </x:c>
      <x:c r="G14" s="44" t="str">
        <x:v>Wrap-safe</x:v>
      </x:c>
    </x:row>
    <x:row r="15">
      <x:c r="A15" s="17" t="str">
        <x:v>V-11</x:v>
      </x:c>
      <x:c r="B15" s="17" t="str">
        <x:v>RTL</x:v>
      </x:c>
      <x:c r="C15" s="44" t="str">
        <x:v>مرحبا 123 — English وسط النص</x:v>
      </x:c>
      <x:c r="D15" s="17" t="str">
        <x:v>text</x:v>
      </x:c>
      <x:c r="E15" s="44" t="str">
        <x:v>مرحبا 123 — English وسط النص</x:v>
      </x:c>
      <x:c r="F15" s="17" t="str">
        <x:v>bidi</x:v>
      </x:c>
      <x:c r="G15" s="44" t="str">
        <x:v>Mixed numerals</x:v>
      </x:c>
    </x:row>
    <x:row r="16">
      <x:c r="A16" s="18" t="str">
        <x:v>V-12</x:v>
      </x:c>
      <x:c r="B16" s="18" t="str">
        <x:v>Symbols</x:v>
      </x:c>
      <x:c r="C16" s="46" t="str">
        <x:v>± × ÷ ∞ ↔ ↕ ☀︎ ☂︎</x:v>
      </x:c>
      <x:c r="D16" s="18" t="str">
        <x:v>text</x:v>
      </x:c>
      <x:c r="E16" s="46" t="str">
        <x:v>± × ÷ ∞ ↔ ↕ ☀︎ ☂︎</x:v>
      </x:c>
      <x:c r="F16" s="18" t="str">
        <x:v>Unicode</x:v>
      </x:c>
      <x:c r="G16" s="46" t="str">
        <x:v>Monochrome symbols</x:v>
      </x:c>
    </x:row>
  </x:sheetData>
  <x:mergeCells>
    <x:mergeCell ref="A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79A2B"/>
  </x:sheetPr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22" hidden="0" customWidth="1"/>
    <x:col min="4" max="4" width="30" hidden="0" customWidth="1"/>
    <x:col min="5" max="5" width="28" hidden="0" customWidth="1"/>
    <x:col min="6" max="6" width="19" hidden="0" customWidth="1"/>
  </x:cols>
  <x:sheetData>
    <x:row r="1" ht="32" customHeight="1">
      <x:c r="A1" s="4" t="str">
        <x:v>X-NFMT-001  ·  Number, date, time, and custom formats</x:v>
      </x:c>
      <x:c r="B1" s="4"/>
      <x:c r="C1" s="4"/>
      <x:c r="D1" s="4"/>
      <x:c r="E1" s="4"/>
      <x:c r="F1" s="4"/>
    </x:row>
    <x:row r="2" ht="32" customHeight="1">
      <x:c r="A2" s="4"/>
      <x:c r="B2" s="4"/>
      <x:c r="C2" s="4"/>
      <x:c r="D2" s="4"/>
      <x:c r="E2" s="4"/>
      <x:c r="F2" s="4"/>
    </x:row>
    <x:row r="4" ht="26" customHeight="1">
      <x:c r="A4" s="16" t="str">
        <x:v>Case</x:v>
      </x:c>
      <x:c r="B4" s="16" t="str">
        <x:v>Label</x:v>
      </x:c>
      <x:c r="C4" s="16" t="str">
        <x:v>Stored value</x:v>
      </x:c>
      <x:c r="D4" s="16" t="str">
        <x:v>Number format</x:v>
      </x:c>
      <x:c r="E4" s="16" t="str">
        <x:v>Expected display</x:v>
      </x:c>
      <x:c r="F4" s="16" t="str">
        <x:v>Boundary</x:v>
      </x:c>
    </x:row>
    <x:row r="5">
      <x:c r="A5" s="17" t="str">
        <x:v>N-01</x:v>
      </x:c>
      <x:c r="B5" s="17" t="str">
        <x:v>Grouped integer</x:v>
      </x:c>
      <x:c r="C5" s="59" t="n">
        <x:v>1234567</x:v>
      </x:c>
      <x:c r="D5" s="17" t="str">
        <x:v>#,##0</x:v>
      </x:c>
      <x:c r="E5" s="17" t="str">
        <x:v>1,234,567</x:v>
      </x:c>
      <x:c r="F5" s="17" t="str">
        <x:v>grouping</x:v>
      </x:c>
    </x:row>
    <x:row r="6">
      <x:c r="A6" s="17" t="str">
        <x:v>N-02</x:v>
      </x:c>
      <x:c r="B6" s="17" t="str">
        <x:v>Signed decimal</x:v>
      </x:c>
      <x:c r="C6" s="60" t="n">
        <x:v>-12.5</x:v>
      </x:c>
      <x:c r="D6" s="17" t="str">
        <x:v>0.00;[Red]-0.00;0.00</x:v>
      </x:c>
      <x:c r="E6" s="17" t="str">
        <x:v>-12.50</x:v>
      </x:c>
      <x:c r="F6" s="17" t="str">
        <x:v>sections</x:v>
      </x:c>
    </x:row>
    <x:row r="7">
      <x:c r="A7" s="17" t="str">
        <x:v>N-03</x:v>
      </x:c>
      <x:c r="B7" s="17" t="str">
        <x:v>Percent</x:v>
      </x:c>
      <x:c r="C7" s="61" t="n">
        <x:v>0.125</x:v>
      </x:c>
      <x:c r="D7" s="17" t="str">
        <x:v>0.0%</x:v>
      </x:c>
      <x:c r="E7" s="17" t="str">
        <x:v>12.5%</x:v>
      </x:c>
      <x:c r="F7" s="17" t="str">
        <x:v>scale</x:v>
      </x:c>
    </x:row>
    <x:row r="8">
      <x:c r="A8" s="17" t="str">
        <x:v>N-04</x:v>
      </x:c>
      <x:c r="B8" s="17" t="str">
        <x:v>Scientific</x:v>
      </x:c>
      <x:c r="C8" s="62" t="n">
        <x:v>1.234e-7</x:v>
      </x:c>
      <x:c r="D8" s="17" t="str">
        <x:v>0.000E+00</x:v>
      </x:c>
      <x:c r="E8" s="17" t="str">
        <x:v>1.234E-07</x:v>
      </x:c>
      <x:c r="F8" s="17" t="str">
        <x:v>small magnitude</x:v>
      </x:c>
    </x:row>
    <x:row r="9">
      <x:c r="A9" s="17" t="str">
        <x:v>N-05</x:v>
      </x:c>
      <x:c r="B9" s="17" t="str">
        <x:v>Fraction</x:v>
      </x:c>
      <x:c r="C9" s="63" t="n">
        <x:v>0.375</x:v>
      </x:c>
      <x:c r="D9" s="17" t="str">
        <x:v># ?/?</x:v>
      </x:c>
      <x:c r="E9" s="17" t="str">
        <x:v>3/8</x:v>
      </x:c>
      <x:c r="F9" s="17" t="str">
        <x:v>fraction</x:v>
      </x:c>
    </x:row>
    <x:row r="10">
      <x:c r="A10" s="17" t="str">
        <x:v>N-06</x:v>
      </x:c>
      <x:c r="B10" s="17" t="str">
        <x:v>Currency</x:v>
      </x:c>
      <x:c r="C10" s="64" t="n">
        <x:v>1234.5</x:v>
      </x:c>
      <x:c r="D10" s="17" t="str">
        <x:v>$#,##0.00</x:v>
      </x:c>
      <x:c r="E10" s="17" t="str">
        <x:v>$1,234.50</x:v>
      </x:c>
      <x:c r="F10" s="17" t="str">
        <x:v>currency</x:v>
      </x:c>
    </x:row>
    <x:row r="11">
      <x:c r="A11" s="17" t="str">
        <x:v>N-07</x:v>
      </x:c>
      <x:c r="B11" s="17" t="str">
        <x:v>Accounting-like</x:v>
      </x:c>
      <x:c r="C11" s="65" t="n">
        <x:v>0</x:v>
      </x:c>
      <x:c r="D11" s="17" t="str">
        <x:v>$* #,##0.00;[Red]$* -#,##0.00;$* "-"??</x:v>
      </x:c>
      <x:c r="E11" s="17" t="str">
        <x:v>$ -</x:v>
      </x:c>
      <x:c r="F11" s="17" t="str">
        <x:v>zero section</x:v>
      </x:c>
    </x:row>
    <x:row r="12">
      <x:c r="A12" s="17" t="str">
        <x:v>N-08</x:v>
      </x:c>
      <x:c r="B12" s="17" t="str">
        <x:v>Date</x:v>
      </x:c>
      <x:c r="C12" s="66" t="n">
        <x:v>45351</x:v>
      </x:c>
      <x:c r="D12" s="17" t="str">
        <x:v>yyyy-mm-dd</x:v>
      </x:c>
      <x:c r="E12" s="17" t="str">
        <x:v>2024-02-29</x:v>
      </x:c>
      <x:c r="F12" s="17" t="str">
        <x:v>leap day</x:v>
      </x:c>
    </x:row>
    <x:row r="13">
      <x:c r="A13" s="17" t="str">
        <x:v>N-09</x:v>
      </x:c>
      <x:c r="B13" s="17" t="str">
        <x:v>Date-time</x:v>
      </x:c>
      <x:c r="C13" s="67" t="n">
        <x:v>46023.99998842592</x:v>
      </x:c>
      <x:c r="D13" s="17" t="str">
        <x:v>yyyy-mm-dd hh:mm:ss</x:v>
      </x:c>
      <x:c r="E13" s="17" t="str">
        <x:v>2026-01-01 23:59:59</x:v>
      </x:c>
      <x:c r="F13" s="17" t="str">
        <x:v>day edge</x:v>
      </x:c>
    </x:row>
    <x:row r="14">
      <x:c r="A14" s="17" t="str">
        <x:v>N-10</x:v>
      </x:c>
      <x:c r="B14" s="17" t="str">
        <x:v>Time only</x:v>
      </x:c>
      <x:c r="C14" s="68" t="n">
        <x:v>0.5242592592592593</x:v>
      </x:c>
      <x:c r="D14" s="17" t="str">
        <x:v>hh:mm:ss</x:v>
      </x:c>
      <x:c r="E14" s="17" t="str">
        <x:v>12:34:56</x:v>
      </x:c>
      <x:c r="F14" s="17" t="str">
        <x:v>time serial</x:v>
      </x:c>
    </x:row>
    <x:row r="15">
      <x:c r="A15" s="17" t="str">
        <x:v>N-11</x:v>
      </x:c>
      <x:c r="B15" s="17" t="str">
        <x:v>Elapsed hours</x:v>
      </x:c>
      <x:c r="C15" s="69" t="n">
        <x:v>1.5</x:v>
      </x:c>
      <x:c r="D15" s="17" t="str">
        <x:v>[h]:mm</x:v>
      </x:c>
      <x:c r="E15" s="17" t="str">
        <x:v>36:00</x:v>
      </x:c>
      <x:c r="F15" s="17" t="str">
        <x:v>elapsed</x:v>
      </x:c>
    </x:row>
    <x:row r="16">
      <x:c r="A16" s="18" t="str">
        <x:v>N-12</x:v>
      </x:c>
      <x:c r="B16" s="18" t="str">
        <x:v>Literal text</x:v>
      </x:c>
      <x:c r="C16" s="70" t="n">
        <x:v>42</x:v>
      </x:c>
      <x:c r="D16" s="18" t="str">
        <x:v>"ID-"0000</x:v>
      </x:c>
      <x:c r="E16" s="18" t="str">
        <x:v>ID-0042</x:v>
      </x:c>
      <x:c r="F16" s="18" t="str">
        <x:v>literal prefix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D6B78"/>
  </x:sheetPr>
  <x:sheetViews>
    <x:sheetView showGridLines="0" workbookViewId="0"/>
  </x:sheetViews>
  <x:sheetFormatPr defaultRowHeight="15"/>
  <x:cols>
    <x:col min="1" max="1" width="4" hidden="0" customWidth="1"/>
    <x:col min="2" max="2" width="11" hidden="0" customWidth="1"/>
    <x:col min="3" max="3" width="11" hidden="0" customWidth="1"/>
    <x:col min="4" max="4" width="3" hidden="0" customWidth="1"/>
    <x:col min="5" max="5" width="10" hidden="0" customWidth="1"/>
    <x:col min="6" max="6" width="36" hidden="0" customWidth="1"/>
    <x:col min="7" max="7" width="14" hidden="0" customWidth="1"/>
    <x:col min="8" max="8" width="13" hidden="0" customWidth="1"/>
    <x:col min="9" max="9" width="14" hidden="0" customWidth="1"/>
    <x:col min="10" max="10" width="14" hidden="1" customWidth="1" outlineLevel="1" collapsed="1"/>
  </x:cols>
  <x:sheetData>
    <x:row r="1" ht="32" customHeight="1">
      <x:c r="A1" s="4" t="str">
        <x:v>X-GEOM-001  ·  Merge, wrap, size, freeze, and hidden geometry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26" customHeight="1">
      <x:c r="A4" s="84" t="str">
        <x:v>Merged 2 × 3 title block</x:v>
      </x:c>
      <x:c r="B4" s="85"/>
      <x:c r="C4" s="86"/>
      <x:c r="E4" s="13" t="str">
        <x:v>Narrow</x:v>
      </x:c>
      <x:c r="F4" s="13" t="str">
        <x:v>Wide wrapped narrative</x:v>
      </x:c>
      <x:c r="G4" s="13" t="str">
        <x:v>Centered</x:v>
      </x:c>
      <x:c r="H4" s="13" t="str">
        <x:v>Right</x:v>
      </x:c>
      <x:c r="I4" s="13" t="str">
        <x:v>Tall row</x:v>
      </x:c>
      <x:c r="J4" s="13" t="str">
        <x:v>Hidden next</x:v>
      </x:c>
    </x:row>
    <x:row r="5" ht="34" customHeight="1">
      <x:c r="A5" s="87"/>
      <x:c r="B5" s="88"/>
      <x:c r="C5" s="89"/>
      <x:c r="E5" s="15" t="n">
        <x:v>0</x:v>
      </x:c>
      <x:c r="F5" s="42" t="str">
        <x:v>A deliberately long sentence wraps within an explicit width without clipping.</x:v>
      </x:c>
      <x:c r="G5" s="90" t="str">
        <x:v>center</x:v>
      </x:c>
      <x:c r="H5" s="91" t="n">
        <x:v>1000</x:v>
      </x:c>
      <x:c r="I5" s="42" t="str">
        <x:v>one line</x:v>
      </x:c>
      <x:c r="J5" s="15" t="str">
        <x:v>H-1</x:v>
      </x:c>
    </x:row>
    <x:row r="6" ht="34" customHeight="1">
      <x:c r="E6" s="15" t="n">
        <x:v>1</x:v>
      </x:c>
      <x:c r="F6" s="42" t="str">
        <x:v>A deliberately long sentence wraps within an explicit width without clipping.</x:v>
      </x:c>
      <x:c r="G6" s="90" t="str">
        <x:v>center</x:v>
      </x:c>
      <x:c r="H6" s="91" t="n">
        <x:v>993</x:v>
      </x:c>
      <x:c r="I6" s="42" t="str">
        <x:v>two
lines</x:v>
      </x:c>
      <x:c r="J6" s="15" t="str">
        <x:v>H-2</x:v>
      </x:c>
    </x:row>
    <x:row r="7" ht="34" customHeight="1">
      <x:c r="E7" s="15" t="n">
        <x:v>2</x:v>
      </x:c>
      <x:c r="F7" s="42" t="str">
        <x:v>A deliberately long sentence wraps within an explicit width without clipping.</x:v>
      </x:c>
      <x:c r="G7" s="90" t="str">
        <x:v>center</x:v>
      </x:c>
      <x:c r="H7" s="91" t="n">
        <x:v>986</x:v>
      </x:c>
      <x:c r="I7" s="42" t="str">
        <x:v>one line</x:v>
      </x:c>
      <x:c r="J7" s="15" t="str">
        <x:v>H-3</x:v>
      </x:c>
    </x:row>
    <x:row r="8" ht="34" customHeight="1">
      <x:c r="E8" s="15" t="n">
        <x:v>3</x:v>
      </x:c>
      <x:c r="F8" s="42" t="str">
        <x:v>A deliberately long sentence wraps within an explicit width without clipping.</x:v>
      </x:c>
      <x:c r="G8" s="90" t="str">
        <x:v>center</x:v>
      </x:c>
      <x:c r="H8" s="91" t="n">
        <x:v>979</x:v>
      </x:c>
      <x:c r="I8" s="42" t="str">
        <x:v>two
lines</x:v>
      </x:c>
      <x:c r="J8" s="15" t="str">
        <x:v>H-4</x:v>
      </x:c>
    </x:row>
    <x:row r="9" ht="34" customHeight="1">
      <x:c r="E9" s="15" t="n">
        <x:v>4</x:v>
      </x:c>
      <x:c r="F9" s="42" t="str">
        <x:v>A deliberately long sentence wraps within an explicit width without clipping.</x:v>
      </x:c>
      <x:c r="G9" s="90" t="str">
        <x:v>center</x:v>
      </x:c>
      <x:c r="H9" s="91" t="n">
        <x:v>972</x:v>
      </x:c>
      <x:c r="I9" s="42" t="str">
        <x:v>one line</x:v>
      </x:c>
      <x:c r="J9" s="15" t="str">
        <x:v>H-5</x:v>
      </x:c>
    </x:row>
    <x:row r="10" ht="34" customHeight="1">
      <x:c r="E10" s="15" t="n">
        <x:v>5</x:v>
      </x:c>
      <x:c r="F10" s="42" t="str">
        <x:v>A deliberately long sentence wraps within an explicit width without clipping.</x:v>
      </x:c>
      <x:c r="G10" s="90" t="str">
        <x:v>center</x:v>
      </x:c>
      <x:c r="H10" s="91" t="n">
        <x:v>965</x:v>
      </x:c>
      <x:c r="I10" s="42" t="str">
        <x:v>two
lines</x:v>
      </x:c>
      <x:c r="J10" s="15" t="str">
        <x:v>H-6</x:v>
      </x:c>
    </x:row>
    <x:row r="11" ht="34" customHeight="1">
      <x:c r="E11" s="15" t="n">
        <x:v>6</x:v>
      </x:c>
      <x:c r="F11" s="42" t="str">
        <x:v>A deliberately long sentence wraps within an explicit width without clipping.</x:v>
      </x:c>
      <x:c r="G11" s="90" t="str">
        <x:v>center</x:v>
      </x:c>
      <x:c r="H11" s="91" t="n">
        <x:v>958</x:v>
      </x:c>
      <x:c r="I11" s="42" t="str">
        <x:v>one line</x:v>
      </x:c>
      <x:c r="J11" s="15" t="str">
        <x:v>H-7</x:v>
      </x:c>
    </x:row>
    <x:row r="12" ht="34" customHeight="1" hidden="1" outlineLevel="1" collapsed="1">
      <x:c r="E12" s="15" t="n">
        <x:v>7</x:v>
      </x:c>
      <x:c r="F12" s="42" t="str">
        <x:v>A deliberately long sentence wraps within an explicit width without clipping.</x:v>
      </x:c>
      <x:c r="G12" s="90" t="str">
        <x:v>center</x:v>
      </x:c>
      <x:c r="H12" s="91" t="n">
        <x:v>951</x:v>
      </x:c>
      <x:c r="I12" s="42" t="str">
        <x:v>two
lines</x:v>
      </x:c>
      <x:c r="J12" s="15" t="str">
        <x:v>H-8</x:v>
      </x:c>
    </x:row>
    <x:row r="14">
      <x:c r="A14" s="105" t="str">
        <x:v>Frozen rows and columns preserve geometry while the view scrolls; a hidden row and hidden column are patched into the package.</x:v>
      </x:c>
      <x:c r="B14" s="106"/>
      <x:c r="C14" s="106"/>
      <x:c r="D14" s="106"/>
      <x:c r="E14" s="106"/>
      <x:c r="F14" s="106"/>
      <x:c r="G14" s="106"/>
      <x:c r="H14" s="106"/>
      <x:c r="I14" s="106"/>
      <x:c r="J14" s="107"/>
    </x:row>
    <x:row r="15">
      <x:c r="A15" s="108"/>
      <x:c r="B15" s="109"/>
      <x:c r="C15" s="109"/>
      <x:c r="D15" s="109"/>
      <x:c r="E15" s="109"/>
      <x:c r="F15" s="109"/>
      <x:c r="G15" s="109"/>
      <x:c r="H15" s="109"/>
      <x:c r="I15" s="109"/>
      <x:c r="J15" s="110"/>
    </x:row>
  </x:sheetData>
  <x:mergeCells>
    <x:mergeCell ref="A1:J2"/>
    <x:mergeCell ref="A4:C5"/>
    <x:mergeCell ref="A14:J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</x:cols>
  <x:sheetData>
    <x:row r="1" ht="32" customHeight="1">
      <x:c r="A1" s="4" t="str">
        <x:v>X-FORMULA-001  ·  Tables, formulas, references, and cached results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116" t="str">
        <x:v>ID</x:v>
      </x:c>
      <x:c r="B4" s="116" t="str">
        <x:v>Description</x:v>
      </x:c>
      <x:c r="C4" s="116" t="str">
        <x:v>Qty</x:v>
      </x:c>
      <x:c r="D4" s="116" t="str">
        <x:v>Unit price</x:v>
      </x:c>
      <x:c r="E4" s="116" t="str">
        <x:v>Discount</x:v>
      </x:c>
      <x:c r="F4" s="116" t="str">
        <x:v>Gross</x:v>
      </x:c>
      <x:c r="G4" s="116" t="str">
        <x:v>Net</x:v>
      </x:c>
      <x:c r="H4" s="116" t="str">
        <x:v>Check</x:v>
      </x:c>
    </x:row>
    <x:row r="5">
      <x:c r="A5" s="116" t="str">
        <x:v>O-001</x:v>
      </x:c>
      <x:c r="B5" s="116" t="str">
        <x:v>Zero quantity</x:v>
      </x:c>
      <x:c r="C5" s="117" t="n">
        <x:v>0</x:v>
      </x:c>
      <x:c r="D5" s="118" t="n">
        <x:v>12.5</x:v>
      </x:c>
      <x:c r="E5" s="119" t="n">
        <x:v>0</x:v>
      </x:c>
      <x:c r="F5" s="120" t="n">
        <x:f>C5*D5</x:f>
        <x:v>0</x:v>
      </x:c>
      <x:c r="G5" s="120" t="n">
        <x:f>F5*(1-E5)</x:f>
        <x:v>0</x:v>
      </x:c>
      <x:c r="H5" s="116" t="str">
        <x:f>IF(AND(E5&gt;=0,E5&lt;=1),"OK","CHECK")</x:f>
        <x:v>OK</x:v>
      </x:c>
    </x:row>
    <x:row r="6">
      <x:c r="A6" s="116" t="str">
        <x:v>O-002</x:v>
      </x:c>
      <x:c r="B6" s="116" t="str">
        <x:v>Standard positive</x:v>
      </x:c>
      <x:c r="C6" s="117" t="n">
        <x:v>4</x:v>
      </x:c>
      <x:c r="D6" s="118" t="n">
        <x:v>19.95</x:v>
      </x:c>
      <x:c r="E6" s="119" t="n">
        <x:v>0.1</x:v>
      </x:c>
      <x:c r="F6" s="120" t="n">
        <x:f>C6*D6</x:f>
        <x:v>79.8</x:v>
      </x:c>
      <x:c r="G6" s="120" t="n">
        <x:f>F6*(1-E6)</x:f>
        <x:v>71.82</x:v>
      </x:c>
      <x:c r="H6" s="116" t="str">
        <x:f>IF(AND(E6&gt;=0,E6&lt;=1),"OK","CHECK")</x:f>
        <x:v>OK</x:v>
      </x:c>
    </x:row>
    <x:row r="7">
      <x:c r="A7" s="116" t="str">
        <x:v>O-003</x:v>
      </x:c>
      <x:c r="B7" s="116" t="str">
        <x:v>Negative adjustment</x:v>
      </x:c>
      <x:c r="C7" s="117" t="n">
        <x:v>-1</x:v>
      </x:c>
      <x:c r="D7" s="118" t="n">
        <x:v>25</x:v>
      </x:c>
      <x:c r="E7" s="119" t="n">
        <x:v>0</x:v>
      </x:c>
      <x:c r="F7" s="120" t="n">
        <x:f>C7*D7</x:f>
        <x:v>-25</x:v>
      </x:c>
      <x:c r="G7" s="120" t="n">
        <x:f>F7*(1-E7)</x:f>
        <x:v>-25</x:v>
      </x:c>
      <x:c r="H7" s="116" t="str">
        <x:f>IF(AND(E7&gt;=0,E7&lt;=1),"OK","CHECK")</x:f>
        <x:v>OK</x:v>
      </x:c>
    </x:row>
    <x:row r="8">
      <x:c r="A8" s="116" t="str">
        <x:v>O-004</x:v>
      </x:c>
      <x:c r="B8" s="116" t="str">
        <x:v>Full discount</x:v>
      </x:c>
      <x:c r="C8" s="117" t="n">
        <x:v>3</x:v>
      </x:c>
      <x:c r="D8" s="118" t="n">
        <x:v>8.5</x:v>
      </x:c>
      <x:c r="E8" s="119" t="n">
        <x:v>1</x:v>
      </x:c>
      <x:c r="F8" s="120" t="n">
        <x:f>C8*D8</x:f>
        <x:v>25.5</x:v>
      </x:c>
      <x:c r="G8" s="120" t="n">
        <x:f>F8*(1-E8)</x:f>
        <x:v>0</x:v>
      </x:c>
      <x:c r="H8" s="116" t="str">
        <x:f>IF(AND(E8&gt;=0,E8&lt;=1),"OK","CHECK")</x:f>
        <x:v>OK</x:v>
      </x:c>
    </x:row>
    <x:row r="9">
      <x:c r="A9" s="116" t="str">
        <x:v>O-005</x:v>
      </x:c>
      <x:c r="B9" s="116" t="str">
        <x:v>Small decimal</x:v>
      </x:c>
      <x:c r="C9" s="117" t="n">
        <x:v>7</x:v>
      </x:c>
      <x:c r="D9" s="118" t="n">
        <x:v>0.125</x:v>
      </x:c>
      <x:c r="E9" s="119" t="n">
        <x:v>0.05</x:v>
      </x:c>
      <x:c r="F9" s="120" t="n">
        <x:f>C9*D9</x:f>
        <x:v>0.875</x:v>
      </x:c>
      <x:c r="G9" s="120" t="n">
        <x:f>F9*(1-E9)</x:f>
        <x:v>0.8312499999999999</x:v>
      </x:c>
      <x:c r="H9" s="116" t="str">
        <x:f>IF(AND(E9&gt;=0,E9&lt;=1),"OK","CHECK")</x:f>
        <x:v>OK</x:v>
      </x:c>
    </x:row>
    <x:row r="10">
      <x:c r="A10" s="116" t="str">
        <x:v>O-006</x:v>
      </x:c>
      <x:c r="B10" s="116" t="str">
        <x:v>Large amount</x:v>
      </x:c>
      <x:c r="C10" s="117" t="n">
        <x:v>1000</x:v>
      </x:c>
      <x:c r="D10" s="118" t="n">
        <x:v>999.99</x:v>
      </x:c>
      <x:c r="E10" s="119" t="n">
        <x:v>0.125</x:v>
      </x:c>
      <x:c r="F10" s="120" t="n">
        <x:f>C10*D10</x:f>
        <x:v>999990</x:v>
      </x:c>
      <x:c r="G10" s="120" t="n">
        <x:f>F10*(1-E10)</x:f>
        <x:v>874991.25</x:v>
      </x:c>
      <x:c r="H10" s="116" t="str">
        <x:f>IF(AND(E10&gt;=0,E10&lt;=1),"OK","CHECK")</x:f>
        <x:v>OK</x:v>
      </x:c>
    </x:row>
    <x:row r="13" ht="26" customHeight="1">
      <x:c r="A13" s="13" t="str">
        <x:v>Metric</x:v>
      </x:c>
      <x:c r="B13" s="13" t="str">
        <x:v>Formula</x:v>
      </x:c>
      <x:c r="C13" s="13" t="str">
        <x:v>Result</x:v>
      </x:c>
      <x:c r="D13" s="13" t="str">
        <x:v>Boundary</x:v>
      </x:c>
    </x:row>
    <x:row r="14">
      <x:c r="A14" s="15" t="str">
        <x:v>Net total</x:v>
      </x:c>
      <x:c r="B14" s="15" t="str">
        <x:v>=SUM(G5:G10)</x:v>
      </x:c>
      <x:c r="C14" s="52" t="n">
        <x:f>SUM(G5:G10)</x:f>
        <x:v>875038.90125</x:v>
      </x:c>
      <x:c r="D14" s="15" t="str">
        <x:v>signed total</x:v>
      </x:c>
    </x:row>
    <x:row r="15">
      <x:c r="A15" s="15" t="str">
        <x:v>Average positive qty</x:v>
      </x:c>
      <x:c r="B15" s="15" t="str">
        <x:v>=AVERAGEIF(C5:C10,"&gt;0",C5:C10)</x:v>
      </x:c>
      <x:c r="C15" s="115" t="n">
        <x:f>AVERAGEIF(C5:C10,"&gt;0",C5:C10)</x:f>
        <x:v>253.5</x:v>
      </x:c>
      <x:c r="D15" s="15" t="str">
        <x:v>zero excluded</x:v>
      </x:c>
    </x:row>
    <x:row r="16">
      <x:c r="A16" s="15" t="str">
        <x:v>Zero count</x:v>
      </x:c>
      <x:c r="B16" s="15" t="str">
        <x:v>=COUNTIF(C5:C10,0)</x:v>
      </x:c>
      <x:c r="C16" s="115" t="n">
        <x:f>COUNTIF(C5:C10,0)</x:f>
        <x:v>1</x:v>
      </x:c>
      <x:c r="D16" s="15" t="str">
        <x:v>exact zero</x:v>
      </x:c>
    </x:row>
    <x:row r="17">
      <x:c r="A17" s="15" t="str">
        <x:v>Cross-sheet value</x:v>
      </x:c>
      <x:c r="B17" s="15" t="str">
        <x:v>='Values'!C7</x:v>
      </x:c>
      <x:c r="C17" s="115" t="n">
        <x:f>'Values'!C7</x:f>
        <x:v>0</x:v>
      </x:c>
      <x:c r="D17" s="15" t="str">
        <x:v>quoted sheet</x:v>
      </x:c>
    </x:row>
    <x:row r="18">
      <x:c r="A18" s="15" t="str">
        <x:v>Lookup last order</x:v>
      </x:c>
      <x:c r="B18" s="15" t="str">
        <x:v>=INDEX(B5:B10,MATCH("O-006",A5:A10,0))</x:v>
      </x:c>
      <x:c r="C18" s="15" t="str">
        <x:f>INDEX(B5:B10,MATCH("O-006",A5:A10,0))</x:f>
        <x:v>Large amount</x:v>
      </x:c>
      <x:c r="D18" s="15" t="str">
        <x:v>exact match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6.xml><?xml version="1.0" encoding="utf-8"?>
<x:worksheet xmlns:x="http://schemas.openxmlformats.org/spreadsheetml/2006/main">
  <x:sheetPr>
    <x:tabColor rgb="FFB44A3A"/>
  </x:sheetPr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2" hidden="0" customWidth="1"/>
    <x:col min="4" max="4" width="13" hidden="0" customWidth="1"/>
    <x:col min="5" max="5" width="11" hidden="0" customWidth="1"/>
    <x:col min="6" max="6" width="18" hidden="0" customWidth="1"/>
    <x:col min="7" max="7" width="14" hidden="0" customWidth="1"/>
    <x:col min="8" max="8" width="16" hidden="0" customWidth="1"/>
    <x:col min="9" max="9" width="15" hidden="0" customWidth="1"/>
    <x:col min="10" max="10" width="16" hidden="0" customWidth="1"/>
  </x:cols>
  <x:sheetData>
    <x:row r="1" ht="32" customHeight="1">
      <x:c r="A1" s="4" t="str">
        <x:v>X-CF-001  ·  Conditional formatting, validation, and comments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26" customHeight="1">
      <x:c r="A4" s="16" t="str">
        <x:v>ID</x:v>
      </x:c>
      <x:c r="B4" s="16" t="str">
        <x:v>Score</x:v>
      </x:c>
      <x:c r="C4" s="16" t="str">
        <x:v>Variance</x:v>
      </x:c>
      <x:c r="D4" s="16" t="str">
        <x:v>Progress</x:v>
      </x:c>
      <x:c r="E4" s="16" t="str">
        <x:v>Rating</x:v>
      </x:c>
      <x:c r="F4" s="16" t="str">
        <x:v>Status</x:v>
      </x:c>
      <x:c r="G4" s="16" t="str">
        <x:v>Priority</x:v>
      </x:c>
      <x:c r="H4" s="16" t="str">
        <x:v>Owner</x:v>
      </x:c>
      <x:c r="I4" s="16" t="str">
        <x:v>Due date</x:v>
      </x:c>
      <x:c r="J4" s="16" t="str">
        <x:v>Comment</x:v>
      </x:c>
    </x:row>
    <x:row r="5">
      <x:c r="A5" s="17" t="str">
        <x:v>R-01</x:v>
      </x:c>
      <x:c r="B5" s="17" t="n">
        <x:v>0</x:v>
      </x:c>
      <x:c r="C5" s="17" t="n">
        <x:v>-12</x:v>
      </x:c>
      <x:c r="D5" s="122" t="n">
        <x:v>0</x:v>
      </x:c>
      <x:c r="E5" s="17" t="n">
        <x:v>1</x:v>
      </x:c>
      <x:c r="F5" s="17" t="str">
        <x:v>Not Started</x:v>
      </x:c>
      <x:c r="G5" s="17" t="str">
        <x:v>Low</x:v>
      </x:c>
      <x:c r="H5" s="17" t="str">
        <x:v>Avery</x:v>
      </x:c>
      <x:c r="I5" s="66" t="n">
        <x:v>46023</x:v>
      </x:c>
      <x:c r="J5" s="17" t="str">
        <x:v>threaded</x:v>
      </x:c>
    </x:row>
    <x:row r="6">
      <x:c r="A6" s="17" t="str">
        <x:v>R-02</x:v>
      </x:c>
      <x:c r="B6" s="17" t="n">
        <x:v>25</x:v>
      </x:c>
      <x:c r="C6" s="17" t="n">
        <x:v>-1</x:v>
      </x:c>
      <x:c r="D6" s="122" t="n">
        <x:v>0.25</x:v>
      </x:c>
      <x:c r="E6" s="17" t="n">
        <x:v>2</x:v>
      </x:c>
      <x:c r="F6" s="17" t="str">
        <x:v>In Progress</x:v>
      </x:c>
      <x:c r="G6" s="17" t="str">
        <x:v>Medium</x:v>
      </x:c>
      <x:c r="H6" s="17" t="str">
        <x:v>Blake</x:v>
      </x:c>
      <x:c r="I6" s="66" t="n">
        <x:v>46024</x:v>
      </x:c>
      <x:c r="J6" s="17" t="str"/>
    </x:row>
    <x:row r="7">
      <x:c r="A7" s="17" t="str">
        <x:v>R-03</x:v>
      </x:c>
      <x:c r="B7" s="17" t="n">
        <x:v>49</x:v>
      </x:c>
      <x:c r="C7" s="17" t="n">
        <x:v>0</x:v>
      </x:c>
      <x:c r="D7" s="122" t="n">
        <x:v>0.49</x:v>
      </x:c>
      <x:c r="E7" s="17" t="n">
        <x:v>3</x:v>
      </x:c>
      <x:c r="F7" s="17" t="str">
        <x:v>Blocked</x:v>
      </x:c>
      <x:c r="G7" s="17" t="str">
        <x:v>High</x:v>
      </x:c>
      <x:c r="H7" s="17" t="str">
        <x:v>Casey</x:v>
      </x:c>
      <x:c r="I7" s="66" t="n">
        <x:v>46025</x:v>
      </x:c>
      <x:c r="J7" s="17" t="str"/>
    </x:row>
    <x:row r="8">
      <x:c r="A8" s="17" t="str">
        <x:v>R-04</x:v>
      </x:c>
      <x:c r="B8" s="17" t="n">
        <x:v>50</x:v>
      </x:c>
      <x:c r="C8" s="17" t="n">
        <x:v>1</x:v>
      </x:c>
      <x:c r="D8" s="122" t="n">
        <x:v>0.5</x:v>
      </x:c>
      <x:c r="E8" s="17" t="n">
        <x:v>4</x:v>
      </x:c>
      <x:c r="F8" s="17" t="str">
        <x:v>Done</x:v>
      </x:c>
      <x:c r="G8" s="17" t="str">
        <x:v>Critical</x:v>
      </x:c>
      <x:c r="H8" s="17" t="str">
        <x:v>Devon</x:v>
      </x:c>
      <x:c r="I8" s="66" t="n">
        <x:v>46026</x:v>
      </x:c>
      <x:c r="J8" s="17" t="str"/>
    </x:row>
    <x:row r="9">
      <x:c r="A9" s="17" t="str">
        <x:v>R-05</x:v>
      </x:c>
      <x:c r="B9" s="17" t="n">
        <x:v>75</x:v>
      </x:c>
      <x:c r="C9" s="17" t="n">
        <x:v>8</x:v>
      </x:c>
      <x:c r="D9" s="122" t="n">
        <x:v>0.75</x:v>
      </x:c>
      <x:c r="E9" s="17" t="n">
        <x:v>5</x:v>
      </x:c>
      <x:c r="F9" s="17" t="str">
        <x:v>In Progress</x:v>
      </x:c>
      <x:c r="G9" s="17" t="str">
        <x:v>Low</x:v>
      </x:c>
      <x:c r="H9" s="17" t="str">
        <x:v>Emery</x:v>
      </x:c>
      <x:c r="I9" s="66" t="n">
        <x:v>46081</x:v>
      </x:c>
      <x:c r="J9" s="17" t="str"/>
    </x:row>
    <x:row r="10">
      <x:c r="A10" s="17" t="str">
        <x:v>R-06</x:v>
      </x:c>
      <x:c r="B10" s="17" t="n">
        <x:v>99</x:v>
      </x:c>
      <x:c r="C10" s="17" t="n">
        <x:v>12</x:v>
      </x:c>
      <x:c r="D10" s="122" t="n">
        <x:v>0.99</x:v>
      </x:c>
      <x:c r="E10" s="17" t="n">
        <x:v>1</x:v>
      </x:c>
      <x:c r="F10" s="17" t="str">
        <x:v>Blocked</x:v>
      </x:c>
      <x:c r="G10" s="17" t="str">
        <x:v>Medium</x:v>
      </x:c>
      <x:c r="H10" s="17" t="str">
        <x:v>Finley</x:v>
      </x:c>
      <x:c r="I10" s="66" t="n">
        <x:v>45351</x:v>
      </x:c>
      <x:c r="J10" s="17" t="str"/>
    </x:row>
    <x:row r="11">
      <x:c r="A11" s="17" t="str">
        <x:v>R-07</x:v>
      </x:c>
      <x:c r="B11" s="17" t="n">
        <x:v>100</x:v>
      </x:c>
      <x:c r="C11" s="17" t="n">
        <x:v>21</x:v>
      </x:c>
      <x:c r="D11" s="122" t="n">
        <x:v>1</x:v>
      </x:c>
      <x:c r="E11" s="17" t="n">
        <x:v>5</x:v>
      </x:c>
      <x:c r="F11" s="17" t="str">
        <x:v>Done</x:v>
      </x:c>
      <x:c r="G11" s="17" t="str">
        <x:v>High</x:v>
      </x:c>
      <x:c r="H11" s="17" t="str">
        <x:v>Gray</x:v>
      </x:c>
      <x:c r="I11" s="66" t="n">
        <x:v>46082</x:v>
      </x:c>
      <x:c r="J11" s="17" t="str"/>
    </x:row>
    <x:row r="12">
      <x:c r="A12" s="18" t="str">
        <x:v>R-08</x:v>
      </x:c>
      <x:c r="B12" s="18" t="n">
        <x:v>-1</x:v>
      </x:c>
      <x:c r="C12" s="18" t="n">
        <x:v>-21</x:v>
      </x:c>
      <x:c r="D12" s="123" t="n">
        <x:v>1.2</x:v>
      </x:c>
      <x:c r="E12" s="18" t="n">
        <x:v>3</x:v>
      </x:c>
      <x:c r="F12" s="18" t="str">
        <x:v>Not Started</x:v>
      </x:c>
      <x:c r="G12" s="18" t="str">
        <x:v>Critical</x:v>
      </x:c>
      <x:c r="H12" s="18" t="str">
        <x:v>Harper</x:v>
      </x:c>
      <x:c r="I12" s="124" t="n">
        <x:v>46387</x:v>
      </x:c>
      <x:c r="J12" s="18" t="str"/>
    </x:row>
  </x:sheetData>
  <x:mergeCells>
    <x:mergeCell ref="A1:J2"/>
  </x:mergeCells>
  <x:conditionalFormatting sqref="B5:B12">
    <x:cfRule type="colorScale" priority="1">
      <x:colorScale>
        <x:cfvo type="min"/>
        <x:cfvo type="percentile" val="50"/>
        <x:cfvo type="max"/>
        <x:color rgb="FFB44A3A"/>
        <x:color rgb="FFD79A2B"/>
        <x:color rgb="FF2A7F8E"/>
      </x:colorScale>
    </x:cfRule>
  </x:conditionalFormatting>
  <x:conditionalFormatting sqref="C5:C12">
    <x:cfRule type="cellIs" dxfId="0" priority="2" operator="lessThan">
      <x:formula>0</x:formula>
    </x:cfRule>
  </x:conditionalFormatting>
  <x:conditionalFormatting sqref="D5:D12">
    <x:cfRule type="dataBar" priority="3">
      <x:dataBar>
        <x:cfvo type="min"/>
        <x:cfvo type="max"/>
        <x:color rgb="FF2A7F8E"/>
      </x:dataBar>
      <x:extLst>
        <x:ext xmlns:x14="http://schemas.microsoft.com/office/spreadsheetml/2009/9/main" uri="{00000000-0000-4000-8000-000000000006}">
          <x14:id>{00000000-0000-4000-8000-000000000007}</x14:id>
        </x:ext>
      </x:extLst>
    </x:cfRule>
  </x:conditionalFormatting>
  <x:conditionalFormatting sqref="E5:E12">
    <x:cfRule type="iconSet" priority="4">
      <x:iconSet iconSet="5Rating" showValue="1">
        <x:cfvo type="percent" val="0"/>
        <x:cfvo type="percent" val="20"/>
        <x:cfvo type="percent" val="40"/>
        <x:cfvo type="percent" val="60"/>
        <x:cfvo type="percent" val="80"/>
      </x:iconSet>
    </x:cfRule>
  </x:conditionalFormatting>
  <x:dataValidations count="2">
    <x:dataValidation type="list" sqref="F5:F50">
      <x:formula1>"Not Started,In Progress,Blocked,Done"</x:formula1>
    </x:dataValidation>
    <x:dataValidation type="list" sqref="G5:G50">
      <x:formula1>"Low,Medium,High,Critical"</x:formula1>
    </x:dataValidation>
  </x:dataValidations>
  <x:pageMargins left="0.7" right="0.7" top="0.75" bottom="0.75" header="0.3" footer="0.3"/>
  <x:legacyDrawing xmlns:r="http://schemas.openxmlformats.org/officeDocument/2006/relationships" r:id="rId3"/>
  <x:extLst>
    <x:ext xmlns:x14="http://schemas.microsoft.com/office/spreadsheetml/2009/9/main" xmlns:xm="http://schemas.microsoft.com/office/excel/2006/main" uri="{00000000-0000-4000-8000-000000000008}">
      <x14:conditionalFormattings>
        <x14:conditionalFormatting>
          <x14:cfRule type="dataBar" priority="3" id="{00000000-0000-4000-8000-000000000007}">
            <x14:dataBar gradient="1">
              <x14:cfvo type="min"/>
              <x14:cfvo type="max"/>
              <x14:fillColor rgb="FF2A7F8E"/>
            </x14:dataBar>
          </x14:cfRule>
          <xm:sqref>D5:D12</xm:sqref>
        </x14:conditionalFormatting>
      </x14:conditionalFormattings>
    </x:ext>
  </x:extLst>
</x:worksheet>
</file>

<file path=xl/worksheets/sheet7.xml><?xml version="1.0" encoding="utf-8"?>
<x:worksheet xmlns:x14="http://schemas.microsoft.com/office/spreadsheetml/2009/9/main" xmlns:xm="http://schemas.microsoft.com/office/excel/2006/main" xmlns:mc="http://schemas.openxmlformats.org/markup-compatibility/2006" xmlns:xr2="http://schemas.microsoft.com/office/spreadsheetml/2015/revision2" xmlns:x="http://schemas.openxmlformats.org/spreadsheetml/2006/main" mc:Ignorable="xr2">
  <x:sheetPr>
    <x:tabColor rgb="FF2A7F8E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8" max="8" width="26" hidden="0" customWidth="1"/>
  </x:cols>
  <x:sheetData>
    <x:row r="1" ht="32" customHeight="1">
      <x:c r="A1" s="4" t="str">
        <x:v>X-CHART-001  ·  Native charts, sparkline, and embedded image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4" ht="26" customHeight="1">
      <x:c r="A4" s="13" t="str">
        <x:v>Month</x:v>
      </x:c>
      <x:c r="B4" s="13" t="str">
        <x:v>Revenue</x:v>
      </x:c>
      <x:c r="C4" s="13" t="str">
        <x:v>Cost</x:v>
      </x:c>
      <x:c r="D4" s="13" t="str">
        <x:v>Variance</x:v>
      </x:c>
    </x:row>
    <x:row r="5">
      <x:c r="A5" s="15" t="str">
        <x:v>Jan</x:v>
      </x:c>
      <x:c r="B5" s="125" t="n">
        <x:v>100</x:v>
      </x:c>
      <x:c r="C5" s="125" t="n">
        <x:v>92</x:v>
      </x:c>
      <x:c r="D5" s="125" t="n">
        <x:v>8</x:v>
      </x:c>
    </x:row>
    <x:row r="6">
      <x:c r="A6" s="15" t="str">
        <x:v>Feb</x:v>
      </x:c>
      <x:c r="B6" s="125" t="n">
        <x:v>115</x:v>
      </x:c>
      <x:c r="C6" s="125" t="n">
        <x:v>116</x:v>
      </x:c>
      <x:c r="D6" s="125" t="n">
        <x:v>-1</x:v>
      </x:c>
    </x:row>
    <x:row r="7">
      <x:c r="A7" s="15" t="str">
        <x:v>Mar</x:v>
      </x:c>
      <x:c r="B7" s="125" t="n">
        <x:v>0</x:v>
      </x:c>
      <x:c r="C7" s="125" t="n">
        <x:v>10</x:v>
      </x:c>
      <x:c r="D7" s="125" t="n">
        <x:v>-10</x:v>
      </x:c>
    </x:row>
    <x:row r="8">
      <x:c r="A8" s="15" t="str">
        <x:v>Apr</x:v>
      </x:c>
      <x:c r="B8" s="125" t="n">
        <x:v>140</x:v>
      </x:c>
      <x:c r="C8" s="125" t="n">
        <x:v>121</x:v>
      </x:c>
      <x:c r="D8" s="125" t="n">
        <x:v>19</x:v>
      </x:c>
    </x:row>
    <x:row r="9">
      <x:c r="A9" s="15" t="str">
        <x:v>May</x:v>
      </x:c>
      <x:c r="B9" s="125" t="n">
        <x:v>135</x:v>
      </x:c>
      <x:c r="C9" s="125" t="n">
        <x:v>135</x:v>
      </x:c>
      <x:c r="D9" s="125" t="n">
        <x:v>0</x:v>
      </x:c>
    </x:row>
    <x:row r="10">
      <x:c r="A10" s="15" t="str">
        <x:v>Jun</x:v>
      </x:c>
      <x:c r="B10" s="125" t="n">
        <x:v>160</x:v>
      </x:c>
      <x:c r="C10" s="125" t="n">
        <x:v>129</x:v>
      </x:c>
      <x:c r="D10" s="125" t="n">
        <x:v>31</x:v>
      </x:c>
    </x:row>
    <x:row r="13" ht="26" customHeight="1">
      <x:c r="A13" s="13" t="str">
        <x:v>Series</x:v>
      </x:c>
      <x:c r="B13" s="13" t="str">
        <x:v>Jan</x:v>
      </x:c>
      <x:c r="C13" s="13" t="str">
        <x:v>Feb</x:v>
      </x:c>
      <x:c r="D13" s="13" t="str">
        <x:v>Mar</x:v>
      </x:c>
      <x:c r="E13" s="13" t="str">
        <x:v>Apr</x:v>
      </x:c>
      <x:c r="F13" s="13" t="str">
        <x:v>May</x:v>
      </x:c>
      <x:c r="G13" s="13" t="str">
        <x:v>Jun</x:v>
      </x:c>
    </x:row>
    <x:row r="14">
      <x:c r="A14" s="15" t="str">
        <x:v>Variance</x:v>
      </x:c>
      <x:c r="B14" s="15" t="n">
        <x:v>8</x:v>
      </x:c>
      <x:c r="C14" s="15" t="n">
        <x:v>-1</x:v>
      </x:c>
      <x:c r="D14" s="15" t="n">
        <x:v>-10</x:v>
      </x:c>
      <x:c r="E14" s="15" t="n">
        <x:v>19</x:v>
      </x:c>
      <x:c r="F14" s="15" t="n">
        <x:v>0</x:v>
      </x:c>
      <x:c r="G14" s="15" t="n">
        <x:v>31</x:v>
      </x:c>
    </x:row>
  </x:sheetData>
  <x:mergeCells>
    <x:mergeCell ref="A1:P2"/>
  </x:mergeCells>
  <x:pageMargins left="0.7" right="0.7" top="0.75" bottom="0.75" header="0.3" footer="0.3"/>
  <x:drawing xmlns:r="http://schemas.openxmlformats.org/officeDocument/2006/relationships" r:id="rId1"/>
  <x:extLst>
    <x:ext xmlns:x14="http://schemas.microsoft.com/office/spreadsheetml/2009/9/main" xmlns:xm="http://schemas.microsoft.com/office/excel/2006/main" uri="{00000000-0000-4000-8000-000000000009}">
      <x14:sparklineGroups>
        <x14:sparklineGroup manualMax="35" manualMin="-15" lineWeight="1" type="line" displayEmptyCellsAs="gap" markers="1" high="1" low="1" negative="1" displayXAxis="1" xr2:uid="{00000000-0000-4000-8000-00000000000A}">
          <x14:colorSeries rgb="FF2A7F8E"/>
          <x14:colorNegative rgb="FFB44A3A"/>
          <x14:sparklines>
            <x14:sparkline>
              <xm:f>Charts!B14:G14</xm:f>
              <xm:sqref>H14</xm:sqref>
            </x14:sparkline>
          </x14:sparklines>
        </x14:sparklineGroup>
      </x14:sparklineGroups>
    </x:ext>
  </x:extLst>
</x:worksheet>
</file>

<file path=xl/worksheets/sheet8.xml><?xml version="1.0" encoding="utf-8"?>
<x:worksheet xmlns:x="http://schemas.openxmlformats.org/spreadsheetml/2006/main">
  <x:sheetPr>
    <x:tabColor rgb="FFD79A2B"/>
  </x:sheetPr>
  <x:sheetViews>
    <x:sheetView showGridLines="0" workbookViewId="0" rightToLeft="1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4" t="str">
        <x:v>X-VIEW-001  ·  Right-to-left sheet and mirrored anchors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4"/>
      <x:c r="B2" s="4"/>
      <x:c r="C2" s="4"/>
      <x:c r="D2" s="4"/>
      <x:c r="E2" s="4"/>
      <x:c r="F2" s="4"/>
      <x:c r="G2" s="4"/>
      <x:c r="H2" s="4"/>
    </x:row>
    <x:row r="4" ht="26" customHeight="1">
      <x:c r="A4" s="16" t="str">
        <x:v>المعرف</x:v>
      </x:c>
      <x:c r="B4" s="16" t="str">
        <x:v>الوصف</x:v>
      </x:c>
      <x:c r="C4" s="16" t="str">
        <x:v>القيمة</x:v>
      </x:c>
      <x:c r="D4" s="16" t="str">
        <x:v>English</x:v>
      </x:c>
      <x:c r="E4" s="16" t="str">
        <x:v>Expected</x:v>
      </x:c>
    </x:row>
    <x:row r="5">
      <x:c r="A5" s="126" t="str">
        <x:v>ر-١</x:v>
      </x:c>
      <x:c r="B5" s="126" t="str">
        <x:v>مرحبا بالعالم</x:v>
      </x:c>
      <x:c r="C5" s="126" t="n">
        <x:v>0</x:v>
      </x:c>
      <x:c r="D5" s="126" t="str">
        <x:v>zero</x:v>
      </x:c>
      <x:c r="E5" s="126" t="str">
        <x:v>Visible</x:v>
      </x:c>
    </x:row>
    <x:row r="6">
      <x:c r="A6" s="126" t="str">
        <x:v>ر-٢</x:v>
      </x:c>
      <x:c r="B6" s="126" t="str">
        <x:v>نص مختلط English 123</x:v>
      </x:c>
      <x:c r="C6" s="126" t="n">
        <x:v>-12.5</x:v>
      </x:c>
      <x:c r="D6" s="126" t="str">
        <x:v>signed</x:v>
      </x:c>
      <x:c r="E6" s="126" t="str">
        <x:v>Bidi once</x:v>
      </x:c>
    </x:row>
    <x:row r="7">
      <x:c r="A7" s="126" t="str">
        <x:v>ר-٣</x:v>
      </x:c>
      <x:c r="B7" s="126" t="str">
        <x:v>שלום 456</x:v>
      </x:c>
      <x:c r="C7" s="126" t="n">
        <x:v>100</x:v>
      </x:c>
      <x:c r="D7" s="126" t="str">
        <x:v>Hebrew</x:v>
      </x:c>
      <x:c r="E7" s="126" t="str">
        <x:v>Right aligned</x:v>
      </x:c>
    </x:row>
    <x:row r="8">
      <x:c r="A8" s="126" t="str">
        <x:v>ر-٤</x:v>
      </x:c>
      <x:c r="B8" s="126" t="str">
        <x:v>A B</x:v>
      </x:c>
      <x:c r="C8" s="126" t="n">
        <x:v>0.125</x:v>
      </x:c>
      <x:c r="D8" s="126" t="str">
        <x:v>NBSP</x:v>
      </x:c>
      <x:c r="E8" s="126" t="str">
        <x:v>No split</x:v>
      </x:c>
    </x:row>
    <x:row r="9">
      <x:c r="A9" s="126" t="str">
        <x:v>ر-٥</x:v>
      </x:c>
      <x:c r="B9" s="126" t="str">
        <x:v>日本語</x:v>
      </x:c>
      <x:c r="C9" s="126" t="n">
        <x:v>42</x:v>
      </x:c>
      <x:c r="D9" s="126" t="str">
        <x:v>CJK</x:v>
      </x:c>
      <x:c r="E9" s="126" t="str">
        <x:v>No mirror glyph</x:v>
      </x:c>
    </x:row>
    <x:row r="10">
      <x:c r="A10" s="127" t="str">
        <x:v>ر-٦</x:v>
      </x:c>
      <x:c r="B10" s="127" t="str">
        <x:v>↔ ↕</x:v>
      </x:c>
      <x:c r="C10" s="127" t="n">
        <x:v>9999</x:v>
      </x:c>
      <x:c r="D10" s="127" t="str">
        <x:v>symbols</x:v>
      </x:c>
      <x:c r="E10" s="127" t="str">
        <x:v>Position only</x:v>
      </x:c>
    </x:row>
  </x:sheetData>
  <x:mergeCells>
    <x:mergeCell ref="A1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D6B78"/>
  </x:sheetPr>
  <x:sheetFormatPr defaultRowHeight="15"/>
  <x:sheetData>
    <x:row r="1">
      <x:c r="A1" t="str">
        <x:v>Key</x:v>
      </x:c>
      <x:c r="B1" t="str">
        <x:v>Value</x:v>
      </x:c>
      <x:c r="C1" t="str">
        <x:v>Purpose</x:v>
      </x:c>
    </x:row>
    <x:row r="2">
      <x:c r="A2" t="str">
        <x:v>H-01</x:v>
      </x:c>
      <x:c r="B2" t="n">
        <x:v>0</x:v>
      </x:c>
      <x:c r="C2" t="str">
        <x:v>veryHidden zero</x:v>
      </x:c>
    </x:row>
    <x:row r="3">
      <x:c r="A3" t="str">
        <x:v>H-02</x:v>
      </x:c>
      <x:c r="B3" t="n">
        <x:v>-1</x:v>
      </x:c>
      <x:c r="C3" t="str">
        <x:v>veryHidden negative</x:v>
      </x:c>
    </x:row>
    <x:row r="4">
      <x:c r="A4" t="str">
        <x:v>H-03</x:v>
      </x:c>
      <x:c r="B4" t="n">
        <x:v>0.125</x:v>
      </x:c>
      <x:c r="C4" t="str">
        <x:v>veryHidden decimal</x:v>
      </x:c>
    </x:row>
    <x:row r="5">
      <x:c r="A5" t="str">
        <x:v>H-04</x:v>
      </x:c>
      <x:c r="B5" t="str">
        <x:v>日本語</x:v>
      </x:c>
      <x:c r="C5" t="str">
        <x:v>veryHidden Unicode</x:v>
      </x:c>
    </x:row>
    <x:row r="6">
      <x:c r="A6" t="str">
        <x:v>H-05</x:v>
      </x:c>
      <x:c r="B6" t="str">
        <x:v>END</x:v>
      </x:c>
      <x:c r="C6" t="str">
        <x:v>terminus</x:v>
      </x:c>
    </x:row>
  </x:sheetData>
  <x:pageMargins left="0.7" right="0.7" top="0.75" bottom="0.75" header="0.3" footer="0.3"/>
</x:worksheet>
</file>